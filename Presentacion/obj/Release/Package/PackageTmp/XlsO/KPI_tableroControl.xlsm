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X:\PDF\"/>
    </mc:Choice>
  </mc:AlternateContent>
  <xr:revisionPtr revIDLastSave="0" documentId="13_ncr:1_{CA421EEF-41A0-4118-A7CD-D6799FDD0C8C}" xr6:coauthVersionLast="41" xr6:coauthVersionMax="41" xr10:uidLastSave="{00000000-0000-0000-0000-000000000000}"/>
  <bookViews>
    <workbookView xWindow="-103" yWindow="-103" windowWidth="27634" windowHeight="15034" xr2:uid="{00000000-000D-0000-FFFF-FFFF00000000}"/>
  </bookViews>
  <sheets>
    <sheet name="Registro" sheetId="1" r:id="rId1"/>
    <sheet name="TCD" sheetId="3" r:id="rId2"/>
    <sheet name="TCS" sheetId="4" r:id="rId3"/>
    <sheet name="TCM" sheetId="5" r:id="rId4"/>
  </sheets>
  <functionGroups builtInGroupCount="19"/>
  <definedNames>
    <definedName name="DatosExternos_2" localSheetId="3" hidden="1">TCM!#REF!</definedName>
    <definedName name="svlimdpd0_GESMINSURPRO_tb_kop_cargaAuxiliar_archivo" localSheetId="1" hidden="1">TCD!$B$7:$X$30</definedName>
    <definedName name="svlimdpd0_GESMINSURPRO_tb_kop_cargaAuxiliar_archivo" localSheetId="3" hidden="1">TCM!$B$7:$AL$127</definedName>
    <definedName name="svlimdpd0_GESMINSURPRO_tb_kop_cargaAuxiliar_archivo_1" localSheetId="3" hidden="1">TCM!#REF!</definedName>
    <definedName name="svlimdpd0_GESMINSURPRO_tb_kop_cargaAuxiliar_archivo_1" localSheetId="2" hidden="1">TCS!$B$7:$AB$96</definedName>
    <definedName name="_xlnm.Print_Titles" localSheetId="1">TCD!$1:$6</definedName>
    <definedName name="_xlnm.Print_Titles" localSheetId="3">TCM!$1:$5</definedName>
    <definedName name="_xlnm.Print_Titles" localSheetId="2">TCS!$1:$6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" i="4" l="1"/>
  <c r="N3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keepAlive="1" name="Tabla_TCD" type="5" refreshedVersion="6" saveData="1">
    <dbPr connection="Provider=SQLOLEDB.1;Persist Security Info=True;User ID=gtotal;Initial Catalog=GESMINSURPRO;Data Source=svdcxdpd0;Use Procedure for Prepare=1;Auto Translate=True;Packet Size=8192;Workstation ID=SVDCXDPD0;Use Encryption for Data=False;Tag with column collation when possible=False" command="EXEC up_kop_pro_tableroControl_macroExcel @cod_unidad_negocio = 'PI' , @cod_usuario = 'MINERIA\admin.por', @cod_carga_auxiliar = 310, @Fecha = '2018-01-01', @accion='TCD', @ide = 190302, @version_xls = 2, @tip_registro = 0, @f1='TCD',@f2 = 'XLS';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2000000}" keepAlive="1" name="Tabla_TCM" type="5" refreshedVersion="6" saveData="1">
    <dbPr connection="Provider=SQLOLEDB.1;Persist Security Info=True;User ID=gtotal;Initial Catalog=GESMINSURPRO;Data Source=svdcxdpd0;Use Procedure for Prepare=1;Auto Translate=True;Packet Size=8192;Workstation ID=DGESTION_PCL1;Use Encryption for Data=False;Tag with column collation when possible=False" command="EXEC up_kop_pro_tableroControl_macroExcel @cod_unidad_negocio = 'PI' , @cod_usuario = 'DGESTION_PCL1\nhidalgo', @cod_carga_auxiliar = 310, @Fecha = '2018-01-01', @accion='TCM', @ide = 201811, @version_xls = 2, @tip_registro = 0, @f1='TCM',@f2 = 'XLS';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00000000-0015-0000-FFFF-FFFF03000000}" keepAlive="1" name="Tabla_TCS" type="5" refreshedVersion="6" saveData="1">
    <dbPr connection="Provider=SQLOLEDB.1;Persist Security Info=True;User ID=gtotal;Initial Catalog=GESMINSURPRO;Data Source=svdcxdpd0;Use Procedure for Prepare=1;Auto Translate=True;Packet Size=8192;Workstation ID=DGESTION_PCL1;Use Encryption for Data=False;Tag with column collation when possible=False" command="EXEC up_kop_pro_tableroControl_macroExcel @cod_unidad_negocio = 'PI' , @cod_usuario = 'DGESTION_PCL1\nhidalgo', @cod_carga_auxiliar = 310, @Fecha = '2018-01-01', @accion='TCS', @ide = 201846, @version_xls = 2, @tip_registro = 0, @f1='TCS',@f2 = 'XLS';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<sst xmlns="http://schemas.openxmlformats.org/spreadsheetml/2006/main" count="1985" uniqueCount="411">
  <si>
    <t>Unidad</t>
  </si>
  <si>
    <t>Formato</t>
  </si>
  <si>
    <t>Fecha Operación</t>
  </si>
  <si>
    <t>Breca - División Minera</t>
  </si>
  <si>
    <t>Versión</t>
  </si>
  <si>
    <t>Descripción</t>
  </si>
  <si>
    <t>Indicador</t>
  </si>
  <si>
    <t>Real</t>
  </si>
  <si>
    <t>Ppto</t>
  </si>
  <si>
    <t>Acción</t>
  </si>
  <si>
    <t>Und.</t>
  </si>
  <si>
    <t>Sub Indicador</t>
  </si>
  <si>
    <t>Var%</t>
  </si>
  <si>
    <t>C</t>
  </si>
  <si>
    <t>Real.</t>
  </si>
  <si>
    <t>Ppto.</t>
  </si>
  <si>
    <t>Var.%</t>
  </si>
  <si>
    <t>C.</t>
  </si>
  <si>
    <t>Explicación</t>
  </si>
  <si>
    <t>Con</t>
  </si>
  <si>
    <t>Imp</t>
  </si>
  <si>
    <t>Dec</t>
  </si>
  <si>
    <t>Enlace</t>
  </si>
  <si>
    <t>Tipo</t>
  </si>
  <si>
    <t/>
  </si>
  <si>
    <t>TIT</t>
  </si>
  <si>
    <t>CON1</t>
  </si>
  <si>
    <t>Acum</t>
  </si>
  <si>
    <t>Carga</t>
  </si>
  <si>
    <t>Frct</t>
  </si>
  <si>
    <t>Frct.</t>
  </si>
  <si>
    <t>Frct...</t>
  </si>
  <si>
    <t>Real..</t>
  </si>
  <si>
    <t>Frct..</t>
  </si>
  <si>
    <t>Var..%</t>
  </si>
  <si>
    <t>C..</t>
  </si>
  <si>
    <t>Var P%</t>
  </si>
  <si>
    <t>C P</t>
  </si>
  <si>
    <t>Var. P%</t>
  </si>
  <si>
    <t>C. P</t>
  </si>
  <si>
    <t>Ppto...</t>
  </si>
  <si>
    <t>Riesgo Social</t>
  </si>
  <si>
    <t>Acumulado Mensual</t>
  </si>
  <si>
    <t>Acumulado Trimestral</t>
  </si>
  <si>
    <t>Relaciones Comunitarias</t>
  </si>
  <si>
    <t>10000000</t>
  </si>
  <si>
    <t>Incidentes nivel 4, 5 y 6</t>
  </si>
  <si>
    <t>11000000</t>
  </si>
  <si>
    <t>Medio Ambiente</t>
  </si>
  <si>
    <t>11000100</t>
  </si>
  <si>
    <t>Incidentes Ambientales nivel 4, 5 y 6</t>
  </si>
  <si>
    <t>15000000</t>
  </si>
  <si>
    <t>15000100</t>
  </si>
  <si>
    <t>t</t>
  </si>
  <si>
    <t>15000200</t>
  </si>
  <si>
    <t>%</t>
  </si>
  <si>
    <t>CON2</t>
  </si>
  <si>
    <t>15000300</t>
  </si>
  <si>
    <t>15000400</t>
  </si>
  <si>
    <t>15000800</t>
  </si>
  <si>
    <t>17000000</t>
  </si>
  <si>
    <t>17000100</t>
  </si>
  <si>
    <t>17000200</t>
  </si>
  <si>
    <t>17000300</t>
  </si>
  <si>
    <t>#</t>
  </si>
  <si>
    <t>18000000</t>
  </si>
  <si>
    <t>18000100</t>
  </si>
  <si>
    <t>Código</t>
  </si>
  <si>
    <t>Var %</t>
  </si>
  <si>
    <t>al</t>
  </si>
  <si>
    <t>Tablero de Control Diario (TCD)</t>
  </si>
  <si>
    <t>Mes</t>
  </si>
  <si>
    <t>Tablero de Control Semanal (TCS)</t>
  </si>
  <si>
    <t>Acumulado Anual</t>
  </si>
  <si>
    <t>Ppto..</t>
  </si>
  <si>
    <t>Var.. P%</t>
  </si>
  <si>
    <t>C.. P</t>
  </si>
  <si>
    <t>Frecuencia</t>
  </si>
  <si>
    <t>cod_rango_fecha</t>
  </si>
  <si>
    <t>Recursos Humanos</t>
  </si>
  <si>
    <t>Pers.</t>
  </si>
  <si>
    <t>Head Count Contratistas</t>
  </si>
  <si>
    <t>Cambios</t>
  </si>
  <si>
    <t>15000500</t>
  </si>
  <si>
    <t>15000600</t>
  </si>
  <si>
    <t>Tablero de Control Mensual (TCM)</t>
  </si>
  <si>
    <t>enlace_comentario</t>
  </si>
  <si>
    <t>Tratamiento Diario</t>
  </si>
  <si>
    <t>16000000</t>
  </si>
  <si>
    <t>Ausentismo Justificado (# Trabajadores)</t>
  </si>
  <si>
    <t>Ausentismo Justificado (# Días)</t>
  </si>
  <si>
    <t>Días</t>
  </si>
  <si>
    <t>Ausentismo Injustificado (# Trabajadores)</t>
  </si>
  <si>
    <t>Ausentismo Injustificado (# Días)</t>
  </si>
  <si>
    <t>Nro. de Trabajadores con Descanso Médico</t>
  </si>
  <si>
    <t>Días por Descansos Médicos</t>
  </si>
  <si>
    <t>Medidas Disciplinarias</t>
  </si>
  <si>
    <t>Índice de Ausentismo</t>
  </si>
  <si>
    <t>Nro. de Procesos Selección Abiertos</t>
  </si>
  <si>
    <t>Proc.</t>
  </si>
  <si>
    <t>Nro. de Procesos Selección Cerrados</t>
  </si>
  <si>
    <t>Destino</t>
  </si>
  <si>
    <t>Errores al generarlo</t>
  </si>
  <si>
    <t>Enero 2018</t>
  </si>
  <si>
    <t>Seguridad y Salud</t>
  </si>
  <si>
    <t>%.</t>
  </si>
  <si>
    <t>Producción Planta</t>
  </si>
  <si>
    <t>15001100</t>
  </si>
  <si>
    <t>15001300</t>
  </si>
  <si>
    <t>15001400</t>
  </si>
  <si>
    <t>15001500</t>
  </si>
  <si>
    <t>15001600</t>
  </si>
  <si>
    <t>18000700</t>
  </si>
  <si>
    <t>18000800</t>
  </si>
  <si>
    <t>18000900</t>
  </si>
  <si>
    <t>18001000</t>
  </si>
  <si>
    <t>18001100</t>
  </si>
  <si>
    <t>18001200</t>
  </si>
  <si>
    <t>20000000</t>
  </si>
  <si>
    <t>Escala</t>
  </si>
  <si>
    <t>ESCALA</t>
  </si>
  <si>
    <t>21000000</t>
  </si>
  <si>
    <t>21000100</t>
  </si>
  <si>
    <t>21000400</t>
  </si>
  <si>
    <t>Ingresos Cia</t>
  </si>
  <si>
    <t>21000500</t>
  </si>
  <si>
    <t>Salidas Involuntarias</t>
  </si>
  <si>
    <t>21000600</t>
  </si>
  <si>
    <t>Salidas Voluntarias</t>
  </si>
  <si>
    <t>21000700</t>
  </si>
  <si>
    <t>Salidas Cia</t>
  </si>
  <si>
    <t>21000800</t>
  </si>
  <si>
    <t>Índice de Salidas Cia</t>
  </si>
  <si>
    <t>21000900</t>
  </si>
  <si>
    <t>Índice de Rotación Cia</t>
  </si>
  <si>
    <t>21001000</t>
  </si>
  <si>
    <t>21001100</t>
  </si>
  <si>
    <t>Ingresos Contratistas</t>
  </si>
  <si>
    <t>21001200</t>
  </si>
  <si>
    <t>Salidas Contratistas</t>
  </si>
  <si>
    <t>21001300</t>
  </si>
  <si>
    <t>Índice de Salidas Contratistas</t>
  </si>
  <si>
    <t>21001400</t>
  </si>
  <si>
    <t>Índice de Rotación Contratistas</t>
  </si>
  <si>
    <t>21001500</t>
  </si>
  <si>
    <t>21001600</t>
  </si>
  <si>
    <t>21001700</t>
  </si>
  <si>
    <t>21001800</t>
  </si>
  <si>
    <t>21001900</t>
  </si>
  <si>
    <t>21002000</t>
  </si>
  <si>
    <t>21002100</t>
  </si>
  <si>
    <t>21002200</t>
  </si>
  <si>
    <t>21002300</t>
  </si>
  <si>
    <t>21002400</t>
  </si>
  <si>
    <t>21002500</t>
  </si>
  <si>
    <t>21002600</t>
  </si>
  <si>
    <t>Cod</t>
  </si>
  <si>
    <t>Ref</t>
  </si>
  <si>
    <t>Impacto</t>
  </si>
  <si>
    <t>Probabilidad</t>
  </si>
  <si>
    <t>Estado</t>
  </si>
  <si>
    <t>Plan de Acción</t>
  </si>
  <si>
    <t>Columna1</t>
  </si>
  <si>
    <t>Riesgos Principales</t>
  </si>
  <si>
    <t>Medio</t>
  </si>
  <si>
    <t>En Proceso</t>
  </si>
  <si>
    <t>Moderado</t>
  </si>
  <si>
    <t>Eventual</t>
  </si>
  <si>
    <t>2018</t>
  </si>
  <si>
    <t>18000400</t>
  </si>
  <si>
    <t>18000500</t>
  </si>
  <si>
    <t>18000600</t>
  </si>
  <si>
    <t>21000200</t>
  </si>
  <si>
    <t>21000300</t>
  </si>
  <si>
    <t>PROYECTOS</t>
  </si>
  <si>
    <t>NOTAS</t>
  </si>
  <si>
    <t>NOTA</t>
  </si>
  <si>
    <t>MAN</t>
  </si>
  <si>
    <t>UNIDAD OPERATIVA PISCO (PI)</t>
  </si>
  <si>
    <t>10000500</t>
  </si>
  <si>
    <t>Número de Accidentes Incapacitantes (AI) (nivel real &gt;= 4)</t>
  </si>
  <si>
    <t>10000600</t>
  </si>
  <si>
    <t>Indice de Frecuencia (1) de AI (IFAI)</t>
  </si>
  <si>
    <t>10000700</t>
  </si>
  <si>
    <t>Número de Lesiones Registrables (LR) (nivel real &gt;= 2)</t>
  </si>
  <si>
    <t>10000800</t>
  </si>
  <si>
    <t>Indice de Frecuencia de LR (IFLR)</t>
  </si>
  <si>
    <t>10000900</t>
  </si>
  <si>
    <t>Número de LR en Dedos y Manos (LRDM)</t>
  </si>
  <si>
    <t>10001000</t>
  </si>
  <si>
    <t>Número de Eventos de Alto Potencial (EAP) (nivel potencial &gt;= 5)</t>
  </si>
  <si>
    <t>10001100</t>
  </si>
  <si>
    <t>Indice de Frecuencia de EAP (IFEAP)</t>
  </si>
  <si>
    <t>10001200</t>
  </si>
  <si>
    <t>Numero de EAP relacionado a tránsito de vehiculos (EAPTV)</t>
  </si>
  <si>
    <t>10001300</t>
  </si>
  <si>
    <t>Número de Incumplimientos a las Reglas por la Vida en EAP y/o AI (IRPV)</t>
  </si>
  <si>
    <t>10001400</t>
  </si>
  <si>
    <t>Índice de comportamientos seguros  (ICS)</t>
  </si>
  <si>
    <t>10001500</t>
  </si>
  <si>
    <t>Número de verificaciones de ciclo de trabajo en las actividades críticas (VCT)</t>
  </si>
  <si>
    <t>10001600</t>
  </si>
  <si>
    <t>Número de actividades de liderazgo visible (ALV)</t>
  </si>
  <si>
    <t>10001700</t>
  </si>
  <si>
    <t>Número de acciones correctivas implementadas de los EAP y AI (ACI)</t>
  </si>
  <si>
    <t>10001800</t>
  </si>
  <si>
    <t>Número de reconocimientos de seguridad otorgados (RS)</t>
  </si>
  <si>
    <t>10001900</t>
  </si>
  <si>
    <t xml:space="preserve">Número de horas de capacitación </t>
  </si>
  <si>
    <t>Hrs.</t>
  </si>
  <si>
    <t>10002000</t>
  </si>
  <si>
    <t>Número de campañas preventivas de salud desarrolladas (CPS)</t>
  </si>
  <si>
    <t>Concentrado Sn Alimentado</t>
  </si>
  <si>
    <t>tms.</t>
  </si>
  <si>
    <t>Ley Sn en el Concentrado</t>
  </si>
  <si>
    <t>Escoria Marginal Alimentada</t>
  </si>
  <si>
    <t>t.</t>
  </si>
  <si>
    <t>Ley Sn en la Escoria Marginal</t>
  </si>
  <si>
    <t>15000720</t>
  </si>
  <si>
    <t>Escoria Horno Rotatorio Alimentada + Psp</t>
  </si>
  <si>
    <t>Ley Sn en la Escoria Rotatorio</t>
  </si>
  <si>
    <t>15001020</t>
  </si>
  <si>
    <t>Dross de Fe Alimentado + Psp</t>
  </si>
  <si>
    <t>Ley Sn en el Dross de Fe</t>
  </si>
  <si>
    <t>Total Tratado</t>
  </si>
  <si>
    <t>Producción de Estaño Refinado</t>
  </si>
  <si>
    <t>Producción de Aleación Sn/Sb</t>
  </si>
  <si>
    <t>15001550</t>
  </si>
  <si>
    <t>Ley Sn en la Aleación Sn/Sb</t>
  </si>
  <si>
    <t>Producción de Aleación Sn/Pb</t>
  </si>
  <si>
    <t>15001650</t>
  </si>
  <si>
    <t>Ley Sn en la Aleación Sn/Pb</t>
  </si>
  <si>
    <t>15001700</t>
  </si>
  <si>
    <t>Producción de Cemento Cu</t>
  </si>
  <si>
    <t>15001800</t>
  </si>
  <si>
    <t>Producción de Dross Alto Cu</t>
  </si>
  <si>
    <t>15001900</t>
  </si>
  <si>
    <t>Recuperación Sn</t>
  </si>
  <si>
    <t>15002000</t>
  </si>
  <si>
    <t>Días de Operación</t>
  </si>
  <si>
    <t>15002100</t>
  </si>
  <si>
    <t>t/día</t>
  </si>
  <si>
    <t>Escoria</t>
  </si>
  <si>
    <t>Escoria de Descarte</t>
  </si>
  <si>
    <t>Ley Sn en la Escoria de Descarte</t>
  </si>
  <si>
    <t>Stock</t>
  </si>
  <si>
    <t>16000100</t>
  </si>
  <si>
    <t>Stock de Concentrado de Sn</t>
  </si>
  <si>
    <t>Cumplimiento respecto al Fcst.</t>
  </si>
  <si>
    <t>16000200</t>
  </si>
  <si>
    <t>En Planta Fundición</t>
  </si>
  <si>
    <t>16000300</t>
  </si>
  <si>
    <t>En Tránsito</t>
  </si>
  <si>
    <t>16000400</t>
  </si>
  <si>
    <t>En Piso Mina</t>
  </si>
  <si>
    <t>2 Lotes</t>
  </si>
  <si>
    <t>16000500</t>
  </si>
  <si>
    <t xml:space="preserve">Ley Sn </t>
  </si>
  <si>
    <t>16000600</t>
  </si>
  <si>
    <t>Fino en el Stock de Concentrado</t>
  </si>
  <si>
    <t>tmf</t>
  </si>
  <si>
    <t>16000700</t>
  </si>
  <si>
    <t>Stock Sn Refinado en Planta</t>
  </si>
  <si>
    <t>16000800</t>
  </si>
  <si>
    <t>Sn Refinado Transportado</t>
  </si>
  <si>
    <t>Mantenimiento Planta</t>
  </si>
  <si>
    <t>Disponibilidad de Fundición</t>
  </si>
  <si>
    <t>18000200</t>
  </si>
  <si>
    <t>Uso de Disponibilidad de Fundición</t>
  </si>
  <si>
    <t>18000300</t>
  </si>
  <si>
    <t>Utilización total de Fundición</t>
  </si>
  <si>
    <t>% Mantenimiento Programado</t>
  </si>
  <si>
    <t>Elaboración de FIAO</t>
  </si>
  <si>
    <t>MTBS (Tiempo medio entre paradas)</t>
  </si>
  <si>
    <t>MTTR (Tiempo medio para la reparación)</t>
  </si>
  <si>
    <t>Disponibilidad de Refineria</t>
  </si>
  <si>
    <t>Uso de Disponibilidad de Refineria</t>
  </si>
  <si>
    <t>Utilización total de Refineria</t>
  </si>
  <si>
    <t>Disponibilidad de Pta. Sub-productos</t>
  </si>
  <si>
    <t>Uso de Disponibilidad de Pta. Sub-prod.</t>
  </si>
  <si>
    <t>Utilización total de Pta. Sub-prod.</t>
  </si>
  <si>
    <t>20000100</t>
  </si>
  <si>
    <t>Head Count Compañía</t>
  </si>
  <si>
    <t>Operaciones y/o Apoyo</t>
  </si>
  <si>
    <t>Proyectos</t>
  </si>
  <si>
    <t>Nro. de Descansos Médicos</t>
  </si>
  <si>
    <t xml:space="preserve">Avance trimestral DS 024 Cia </t>
  </si>
  <si>
    <t>21002700</t>
  </si>
  <si>
    <t>Avance trimestral DS 024 Terceros</t>
  </si>
  <si>
    <t>22000000</t>
  </si>
  <si>
    <t>Campaña AG del Horno Ausmelt</t>
  </si>
  <si>
    <t>22000100</t>
  </si>
  <si>
    <t>Concentrado Sn Alimentado AG Horno</t>
  </si>
  <si>
    <t>22000200</t>
  </si>
  <si>
    <t>Refinado Producido</t>
  </si>
  <si>
    <t>22000300</t>
  </si>
  <si>
    <t>Duración</t>
  </si>
  <si>
    <t>días</t>
  </si>
  <si>
    <t>22000400</t>
  </si>
  <si>
    <t>Refractario</t>
  </si>
  <si>
    <t>Up Grade DCS Hardware (2da) parte</t>
  </si>
  <si>
    <t>En proyección: instalaciones eléctricas y obras civiles.</t>
  </si>
  <si>
    <t>Costo Capex</t>
  </si>
  <si>
    <t>K$</t>
  </si>
  <si>
    <t>Reemplazo del Sistema de ablandamiento de agua</t>
  </si>
  <si>
    <t>Revisión,configuración e instalación.</t>
  </si>
  <si>
    <t>Eqs Aire Acond.Sala C./Lab/MCC y DCS Ref/Of.Alm y Ref</t>
  </si>
  <si>
    <t xml:space="preserve">Equipo de sala de control en proceso de instalación </t>
  </si>
  <si>
    <t>Cambio de cobertura e inspecc. estruct. ed.Fundición</t>
  </si>
  <si>
    <t>Cambio de Montacargas (01 Unidad)</t>
  </si>
  <si>
    <t xml:space="preserve"> OC para Maquiperu (YALE) llegada a puerto 18/11</t>
  </si>
  <si>
    <t>En proceso de importación</t>
  </si>
  <si>
    <t>Otros Proyectos Pisco</t>
  </si>
  <si>
    <t>Total de Capital</t>
  </si>
  <si>
    <t>Costos Total de Capital</t>
  </si>
  <si>
    <t>Nuevas Fuentes de Agua</t>
  </si>
  <si>
    <t>Revisión de informe final</t>
  </si>
  <si>
    <t>Costo Estudios &amp; Optimizaciones</t>
  </si>
  <si>
    <t>Estudio de ingeniería de detalle en desarrollo.</t>
  </si>
  <si>
    <t>Coordinación con proveedores de equipos ROW</t>
  </si>
  <si>
    <t>Estudio HATCH</t>
  </si>
  <si>
    <t>Desabastecimiento de concentrado de estaño</t>
  </si>
  <si>
    <t>1.- Dar visibilidad a incumplimiento de la producción en SR en Comité Semanal/Mensual SR/Pisco.
2- Coordinación constante con Comercial para ajustar planes de producción (R. Reategui)
3- Mayor tratamiento de recirculantes, escoria marginal  
4. Elaboración de plan de contingencia con rutas alternas para transporte de concentrado hacia Pisco.</t>
  </si>
  <si>
    <t>Insuficientes fuentes de agua para seguir operando la Fundición a la capacidad actual</t>
  </si>
  <si>
    <t>Incremento de impurezas en el concentrado que impactan produción y/o costos (silice, plomo, azufre, fierro, antimonio, cobre, etc)</t>
  </si>
  <si>
    <t xml:space="preserve">1.- Dar visibilidad a la calidad del concentrado recepcionado de SR en Comité Semanal/Mensual SR/Pisco.
2- Coordinación constante con Comercial para ajustar planes de producción (R. Reategui)
3.- Preparación de camas de concentrado para dilución de impurezas </t>
  </si>
  <si>
    <t>Accidentes de transito fuera de la unidad</t>
  </si>
  <si>
    <t xml:space="preserve">1.- Ejecutar programa anual de sensibilización y capacitación en manejo defensivo (Minsur y Contratas). Cumplimiento del estándar.
2. Cumplimiento del horario de ingreso / salida de la Unidad.
3.- Prueba de dosaje etilico.
4. Monitoreo vía GPS de las unidades livianas.
5. Programas de mantenimiento preventivo de las unidades livianas.
6. Personal se desplaza en vehículos autorizados. </t>
  </si>
  <si>
    <t>Poner en peligro a personal por no tener capacidad de respuesta por intoxicacion con arsenico e implicancias penales</t>
  </si>
  <si>
    <t>1. Realizar seguimiento a los trámites para la llegada del antídoto.
2.- Control permanente del nivel de As (PET) para reducir el riesgo de intoxicación.
3.- Desarrollo de protocolo para el traslado de un paciente hacia un establecimiento médico especializado.</t>
  </si>
  <si>
    <t>Listado de Oportunidades</t>
  </si>
  <si>
    <t>Compra concentrado Sn en exterior</t>
  </si>
  <si>
    <t>OP</t>
  </si>
  <si>
    <t>* No se recepcionaron muestras durante el mes.</t>
  </si>
  <si>
    <t>1.- El area Comercial debe suministrar muestras para realizar analisis de control y, de cumplir con las especificaciones requeridas, definir condiciones de compra de concentrado.</t>
  </si>
  <si>
    <t>Otros Temas Relevantes (Riesgos, Oportunidades, etc.)</t>
  </si>
  <si>
    <t>10000100</t>
  </si>
  <si>
    <t>10000200</t>
  </si>
  <si>
    <t>Concesión de Beneficio no incluye parte del área de uso efectivo (Pta. Molienda, Almacenes de Carbón).</t>
  </si>
  <si>
    <t xml:space="preserve">1.- Actualizacion de limites (Vertices) de la concesion.
2.- Trabajar con un perito minero para replantear los hitos de los terrenos de la concesión. 
3.- Entregar al área Legal el informe del especialista con sus recomendaciones para solicitar una corrección de coordenadas en INGEMET. </t>
  </si>
  <si>
    <t>Semana No 46</t>
  </si>
  <si>
    <t>Nov-2018</t>
  </si>
  <si>
    <t>Acc incapacitantes (nivel  4, 5 y/o 6)</t>
  </si>
  <si>
    <t>10000300</t>
  </si>
  <si>
    <t>Acc c/lesiones regist (nivel  2,3,4,5 y/o 6)</t>
  </si>
  <si>
    <t>10000400</t>
  </si>
  <si>
    <t>Eventos de alto potencial (nivel  5 y/o 6)</t>
  </si>
  <si>
    <t>Finos de Sn Alimentado</t>
  </si>
  <si>
    <t>Menor concentrado por programación de bacht especial</t>
  </si>
  <si>
    <t>Se regularizará el tratamiento en los próximos días</t>
  </si>
  <si>
    <t>15000900</t>
  </si>
  <si>
    <t>15001200</t>
  </si>
  <si>
    <t>Finos de Sn en Escoria de Descarte</t>
  </si>
  <si>
    <t>3 lotes</t>
  </si>
  <si>
    <t>21 lotes</t>
  </si>
  <si>
    <t>Salida por no cumplir reglamento interno de trabajo coordinado con el área de RR.HH.</t>
  </si>
  <si>
    <t xml:space="preserve"> YKGW  inicia plan de configuración del hardware del DCS .</t>
  </si>
  <si>
    <t>Se recepcionó en planta skit de ROW</t>
  </si>
  <si>
    <t>Se culminó montaje de coberturas</t>
  </si>
  <si>
    <t>Estudio Hidrogeológico</t>
  </si>
  <si>
    <t>Se presentó informe y concluciones del estudio hidrogeológico</t>
  </si>
  <si>
    <t>Factibilidad Desaladora</t>
  </si>
  <si>
    <t>Informe final de FS enviado</t>
  </si>
  <si>
    <t>Ingeniería Desaladora</t>
  </si>
  <si>
    <t>Desarrollo de perfil central térmica (autogeneración)</t>
  </si>
  <si>
    <t>Informe final presentado.</t>
  </si>
  <si>
    <t>Noviembre 2018</t>
  </si>
  <si>
    <t>Noviembre</t>
  </si>
  <si>
    <t xml:space="preserve">Menor tratamiento, respecto al PPTO y FCST, debido a una menor cantidad de batches especiales realizados. </t>
  </si>
  <si>
    <t>12 Lotes</t>
  </si>
  <si>
    <t>23 Lotes</t>
  </si>
  <si>
    <t>Mayor tiempo de mtto. correctivo por reparación de abertura en el canal entre la tapa del horno y el retiro de gases.</t>
  </si>
  <si>
    <t>Desvinculación de Operador Planta III por falta injustificada</t>
  </si>
  <si>
    <t>La campaña AG inicio el 26 de febrero 2018, 10:15 hrs.</t>
  </si>
  <si>
    <t>Cr-Al</t>
  </si>
  <si>
    <t xml:space="preserve"> YKGW  en proceso trabajos de configuración del hardware del DCS .</t>
  </si>
  <si>
    <t>En proyección: instalaciones eléctricas y obras civiles. Inicio de trabajos de programación en planta.</t>
  </si>
  <si>
    <t>Revisión, configuración e instalación.</t>
  </si>
  <si>
    <t>Equipo de sala de control instalado, en configuración</t>
  </si>
  <si>
    <t>Montacargas se prepara para transporte a Pisco</t>
  </si>
  <si>
    <t xml:space="preserve"> Se realizó el SC correspondiente a las fuentes de agua para Pisco. Se presentó el resultado del modelamiento numérico del Estudio Hidrogeológico llevado a cabo en Minsur Pisco, Stantec concluye que con las condiciones actuales las fuentes de agua pueden cubrir la demanda de agua de la unidad hasta marzo del 2022. </t>
  </si>
  <si>
    <t>Ingeniería de detalle de la Planta Desalinizadora</t>
  </si>
  <si>
    <t>La empresa Stantec envió información de la ingeniería de detalle de la Planta desalinizadora para su revisión en donde se incluye un reporte de selección de equipos para aprobación.</t>
  </si>
  <si>
    <t>Revisión de alcance de trabajos con HATCH, estudio de cuellos de botella, para aceptación de Change Order.</t>
  </si>
  <si>
    <t>Mayor</t>
  </si>
  <si>
    <t>Raro</t>
  </si>
  <si>
    <t>* Se cumplió con las acciones de seguimiento. 
* El stock de concentrado Total fue de 1,044 tms vs. 919 tms consideradas en el Fcst3Q.</t>
  </si>
  <si>
    <t xml:space="preserve">• Stantec culmino Estudio de Modelamiento Hidrogeológico Numérico que indica que se cuentan con fuentes de agua hasta abril del 2022.
• Estudio Ing. de Detalle (ID) en proceso de ejecución. Avance del 90% (Stantec), se presentó informe final (rev_B) de la ID (en proceso de revisión por parte de MINSUR). </t>
  </si>
  <si>
    <t>1.- Trabajos de limpieza para asegurar la sostenibilidad de la operación de los pozos 5, 6 &amp; 7 y Drenes (incrementar frecuencia de los aforos).
2.-  Instalación de sensores de nivel y medidores de flujo en pozos actuales.
3.- Dimensionamiento adecuado de drenes (levantamiento topografico) se ha informado al ANA y ALA que las variaciones en la geometria de drenes se debe principalmente a trabajos de limpieza.
4. Licencia del pozo en proceso de formalización con la autoridad competente. 
5.- Buscar ahorros de hasta 0.15 l/s para reducir el consumo de agua en planta.</t>
  </si>
  <si>
    <t xml:space="preserve">• Seguimiento y coordinación constante con San Rafael. </t>
  </si>
  <si>
    <t xml:space="preserve">* Se continúa sensibilizando respecto al uso de vehiculos particulares en turno noche para evitar accidentes por somnolencia.
* Está en desarrollo la campaña del uso adecuado de traba tuercas para los vehículos.
 </t>
  </si>
  <si>
    <t>* Se está a la espera de la llegada del antídoto programada para el mes de diciembre.</t>
  </si>
  <si>
    <t>*  Se ha enviado información a la empresa INSIDEO para la preparación del expediente que necesita la modificación de Concesión de beneficio (MCB).</t>
  </si>
  <si>
    <t>* Se culminó el traslado de la escoria marginal de la zona denominada “el abra”, que se ha considerado alimentar en el presupuesto 2019.</t>
  </si>
  <si>
    <t>* Como parte del programa de monitoreo semestral del ALA Pisco, se realizó la medición del nivel piezométrico y el análisis hidro geoquímico en el pozo 5 (IRH-107). No hubo observaciones.</t>
  </si>
  <si>
    <t>* Se aprueba el AFE para el presupuesto del Plan de Cierre de Mina.</t>
  </si>
  <si>
    <t>* La Dirección Regional de Salud de Ica, DIRESA, realizó una inspección de verificación de resultados de calidad de aire y emisiones, así como de los registros de monitoreo ambiental del último trimestre. No hubo observaciones.</t>
  </si>
  <si>
    <t>* Se sostuvo comunicación con COVIPERU (ET de accesos). Se indica que se considera la observación como levantada y culminarán la revisión del anexo presentado para emitir su opinión ante PROVIAS Nacional.</t>
  </si>
  <si>
    <t>* Se realizó el KOM para la modificación de la ingeniería de detalle del sistema de alimentación de concentrado B2 (Ampliación de Pta. de Peletizado). El estudio será desarrollado por HLC.</t>
  </si>
  <si>
    <t>* Se llevó a cabo la auditoría de los estándares de salud ocupacional de la Fundición a cargo de auditor externo.</t>
  </si>
  <si>
    <t>* Se inició la campaña de seguridad “CERO está en nuestras manos” para prevenir accidentes en lo que resta del año.</t>
  </si>
  <si>
    <t>D</t>
  </si>
  <si>
    <t>PI</t>
  </si>
  <si>
    <t>Día 02-Mar</t>
  </si>
  <si>
    <t>Se carga menos escoria marginal por postergación de batch especial</t>
  </si>
  <si>
    <t>Se programará batch especial.</t>
  </si>
  <si>
    <t>18 lotes</t>
  </si>
  <si>
    <t>20 lotes</t>
  </si>
  <si>
    <t>16 lotes</t>
  </si>
  <si>
    <t>F:\Aplicacion\PDF\PI\TCD</t>
  </si>
  <si>
    <t>Inválido Archivo F:\Aplicacion\PDF\PI\TCD\TCD_PI_190302_310.xlsx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</si>
</sst>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3">
    <numFmt numFmtId="41" formatCode="_-* #,##0_-;\-* #,##0_-;_-* &quot;-&quot;_-;_-@_-"/>
    <numFmt numFmtId="43" formatCode="_-* #,##0.00_-;\-* #,##0.00_-;_-* &quot;-&quot;??_-;_-@_-"/>
    <numFmt numFmtId="164" formatCode="&quot;$&quot;#,##0_);\(&quot;$&quot;#,##0\)"/>
    <numFmt numFmtId="165" formatCode="_(* #,##0_);_(* \(#,##0\);_(* &quot;-&quot;_);_(@_)"/>
    <numFmt numFmtId="166" formatCode="_(* #,##0.00_);_(* \(#,##0.00\);_(* &quot;-&quot;??_);_(@_)"/>
    <numFmt numFmtId="167" formatCode="_ &quot;S/.&quot;* #,##0.00_ ;_ &quot;S/.&quot;* \-#,##0.00_ ;_ &quot;S/.&quot;* &quot;-&quot;??_ ;_ @_ "/>
    <numFmt numFmtId="168" formatCode="_(&quot;S/.&quot;* #,##0.00_);_(&quot;S/.&quot;* \(#,##0.00\);_(&quot;S/.&quot;* &quot;-&quot;??_);_(@_)"/>
    <numFmt numFmtId="169" formatCode="&quot;$&quot;#,##0.0000_);\(&quot;$&quot;#,##0.0000\)"/>
    <numFmt numFmtId="170" formatCode="_-&quot;£&quot;* #,##0_-;\-&quot;£&quot;* #,##0_-;_-&quot;£&quot;* &quot;-&quot;_-;_-@_-"/>
    <numFmt numFmtId="171" formatCode="_([$€-2]\ * #,##0.00_);_([$€-2]\ * \(#,##0.00\);_([$€-2]\ * &quot;-&quot;??_)"/>
    <numFmt numFmtId="172" formatCode="_ [$€]* #,##0.00_ ;_ [$€]* \-#,##0.00_ ;_ [$€]* &quot;-&quot;??_ ;_ @_ "/>
    <numFmt numFmtId="173" formatCode="_([$€]* #,##0.00_);_([$€]* \(#,##0.00\);_([$€]* &quot;-&quot;??_);_(@_)"/>
    <numFmt numFmtId="174" formatCode="_-&quot;€&quot;* #,##0.00_-;_-&quot;€&quot;* #,##0.00\-;_-&quot;€&quot;* &quot;-&quot;??_-;_-@_-"/>
    <numFmt numFmtId="175" formatCode="_-[$€]* #,##0.00_-;\-[$€]* #,##0.00_-;_-[$€]* &quot;-&quot;??_-;_-@_-"/>
    <numFmt numFmtId="176" formatCode="#,##0.0_);\(#,##0.0\)"/>
    <numFmt numFmtId="177" formatCode="_-* #,##0.00\ _€_-;\-* #,##0.00\ _€_-;_-* &quot;-&quot;??\ _€_-;_-@_-"/>
    <numFmt numFmtId="178" formatCode="_-* #,##0\ _F_-;\-* #,##0\ _F_-;_-* &quot;-&quot;\ _F_-;_-@_-"/>
    <numFmt numFmtId="179" formatCode="_-* #,##0.00\ _F_-;\-* #,##0.00\ _F_-;_-* &quot;-&quot;??\ _F_-;_-@_-"/>
    <numFmt numFmtId="180" formatCode="_-* #,##0\ &quot;F&quot;_-;\-* #,##0\ &quot;F&quot;_-;_-* &quot;-&quot;\ &quot;F&quot;_-;_-@_-"/>
    <numFmt numFmtId="181" formatCode="_-* #,##0.00\ &quot;F&quot;_-;\-* #,##0.00\ &quot;F&quot;_-;_-* &quot;-&quot;??\ &quot;F&quot;_-;_-@_-"/>
    <numFmt numFmtId="182" formatCode="0.0000"/>
    <numFmt numFmtId="183" formatCode="mm/dd/yy"/>
    <numFmt numFmtId="184" formatCode="[$-F400]h:mm:ss\ AM/PM"/>
    <numFmt numFmtId="185" formatCode="_ * #,##0_ ;_ * \-#,##0_ ;_ * &quot;-&quot;??_ ;_ @_ "/>
    <numFmt numFmtId="186" formatCode="dd/mm/yyyy;@"/>
    <numFmt numFmtId="187" formatCode="_ * #,##0.0_ ;_ * \-#,##0.0_ ;_ * &quot;-&quot;??_ ;_ @_ "/>
    <numFmt numFmtId="188" formatCode="0_ ;\-0\ "/>
    <numFmt numFmtId="189" formatCode="dd/mm/yy;@"/>
    <numFmt numFmtId="190" formatCode="dd&quot;-&quot;mmm"/>
    <numFmt numFmtId="191" formatCode="0.0%"/>
    <numFmt numFmtId="192" formatCode="#,##0_ ;\-#,##0\ "/>
    <numFmt numFmtId="193" formatCode="##0"/>
    <numFmt numFmtId="194" formatCode="dd"/>
    <numFmt numFmtId="195" formatCode="_(* #,##0_);_(* \(#,##0\);_(* &quot;-&quot;??_);_(@_)"/>
    <numFmt numFmtId="196" formatCode="0.00%_ ;\-0.00%\ "/>
    <numFmt numFmtId="197" formatCode="#,##0.00_ ;\-#,##0.00\ "/>
    <numFmt numFmtId="198" formatCode="dd&quot;-&quot;mmm&quot;-&quot;yy"/>
    <numFmt numFmtId="199" formatCode="yyyy"/>
    <numFmt numFmtId="200" formatCode="mmmm"/>
    <numFmt numFmtId="201" formatCode="&quot;Día &quot;dd&quot;-&quot;mmm"/>
    <numFmt numFmtId="202" formatCode="0%_ ;\-0%\ "/>
    <numFmt numFmtId="203" formatCode="0.0%_ ;\-0.0%\ "/>
    <numFmt numFmtId="204" formatCode="_*&quot;Alto&quot;_-;_*&quot;Bajo&quot;_-;_*&quot;Medio&quot;_-"/>
  </numFmts>
  <fonts count="8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b/>
      <sz val="11"/>
      <color indexed="53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sz val="12"/>
      <name val="Arial"/>
      <family val="2"/>
    </font>
    <font>
      <sz val="8"/>
      <name val="Times New Roman"/>
      <family val="1"/>
    </font>
    <font>
      <sz val="12"/>
      <color indexed="24"/>
      <name val="Arial"/>
      <family val="2"/>
    </font>
    <font>
      <sz val="10"/>
      <name val="MS Serif"/>
      <family val="1"/>
    </font>
    <font>
      <sz val="10"/>
      <name val="Courier"/>
      <family val="3"/>
    </font>
    <font>
      <sz val="10"/>
      <name val="Times New Roman"/>
      <family val="1"/>
    </font>
    <font>
      <sz val="10"/>
      <color indexed="16"/>
      <name val="MS Serif"/>
      <family val="1"/>
    </font>
    <font>
      <sz val="10"/>
      <name val="Helv"/>
      <charset val="204"/>
    </font>
    <font>
      <sz val="18"/>
      <name val="Arial"/>
      <family val="2"/>
    </font>
    <font>
      <sz val="8"/>
      <name val="Arial"/>
      <family val="2"/>
    </font>
    <font>
      <i/>
      <sz val="12"/>
      <name val="Arial"/>
      <family val="2"/>
    </font>
    <font>
      <sz val="12"/>
      <name val="Times New Roman"/>
      <family val="1"/>
    </font>
    <font>
      <sz val="18"/>
      <name val="Times New Roman"/>
      <family val="1"/>
    </font>
    <font>
      <i/>
      <sz val="12"/>
      <name val="Times New Roman"/>
      <family val="1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62"/>
      <name val="Calibri"/>
      <family val="2"/>
    </font>
    <font>
      <u/>
      <sz val="7.7"/>
      <color indexed="12"/>
      <name val="Calibri"/>
      <family val="2"/>
    </font>
    <font>
      <sz val="12"/>
      <name val="Helv"/>
    </font>
    <font>
      <sz val="11"/>
      <color indexed="53"/>
      <name val="Calibri"/>
      <family val="2"/>
    </font>
    <font>
      <sz val="12"/>
      <color indexed="9"/>
      <name val="Helv"/>
    </font>
    <font>
      <sz val="11"/>
      <name val="‚l‚r –¾’©"/>
      <charset val="128"/>
    </font>
    <font>
      <sz val="10"/>
      <name val="Tms Rmn"/>
    </font>
    <font>
      <sz val="10"/>
      <name val="MS Sans Serif"/>
      <family val="2"/>
    </font>
    <font>
      <b/>
      <sz val="10"/>
      <name val="MS Sans Serif"/>
      <family val="2"/>
    </font>
    <font>
      <sz val="8"/>
      <name val="Helv"/>
    </font>
    <font>
      <b/>
      <sz val="8"/>
      <color indexed="8"/>
      <name val="Helv"/>
    </font>
    <font>
      <strike/>
      <condense/>
      <extend/>
      <outline/>
      <shadow/>
      <u/>
      <sz val="409.55"/>
      <color indexed="62"/>
      <name val="Calibri"/>
      <family val="2"/>
    </font>
    <font>
      <b/>
      <sz val="18"/>
      <color indexed="62"/>
      <name val="Cambria"/>
      <family val="2"/>
    </font>
    <font>
      <b/>
      <sz val="18"/>
      <color theme="3"/>
      <name val="Calibri Light"/>
      <family val="2"/>
      <scheme val="maj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sz val="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3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3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</fonts>
  <fills count="7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5"/>
        <bgColor indexed="55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9"/>
        <bgColor indexed="9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7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0"/>
      </right>
      <top/>
      <bottom style="double">
        <color auto="1"/>
      </bottom>
      <diagonal/>
    </border>
    <border>
      <left/>
      <right/>
      <top style="thin">
        <color theme="2" tint="-0.24997711111789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844">
    <xf numFmtId="0" fontId="0" fillId="0" borderId="0"/>
    <xf numFmtId="166" fontId="1" fillId="0" borderId="0" applyFon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7" fillId="0" borderId="0" applyNumberFormat="0" applyFill="0" applyBorder="0" applyAlignment="0" applyProtection="0"/>
    <xf numFmtId="0" fontId="2" fillId="0" borderId="10" applyNumberFormat="0" applyFill="0" applyAlignment="0" applyProtection="0"/>
    <xf numFmtId="0" fontId="18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8" fillId="3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9" fillId="33" borderId="0" applyNumberFormat="0" applyBorder="0" applyAlignment="0" applyProtection="0"/>
    <xf numFmtId="0" fontId="1" fillId="10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9" fillId="34" borderId="0" applyNumberFormat="0" applyBorder="0" applyAlignment="0" applyProtection="0"/>
    <xf numFmtId="0" fontId="1" fillId="14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9" fillId="35" borderId="0" applyNumberFormat="0" applyBorder="0" applyAlignment="0" applyProtection="0"/>
    <xf numFmtId="0" fontId="1" fillId="18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" fillId="22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9" fillId="37" borderId="0" applyNumberFormat="0" applyBorder="0" applyAlignment="0" applyProtection="0"/>
    <xf numFmtId="0" fontId="1" fillId="26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9" fillId="38" borderId="0" applyNumberFormat="0" applyBorder="0" applyAlignment="0" applyProtection="0"/>
    <xf numFmtId="0" fontId="1" fillId="30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" fillId="11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9" fillId="40" borderId="0" applyNumberFormat="0" applyBorder="0" applyAlignment="0" applyProtection="0"/>
    <xf numFmtId="0" fontId="1" fillId="15" borderId="0" applyNumberFormat="0" applyBorder="0" applyAlignment="0" applyProtection="0"/>
    <xf numFmtId="0" fontId="19" fillId="40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9" fillId="41" borderId="0" applyNumberFormat="0" applyBorder="0" applyAlignment="0" applyProtection="0"/>
    <xf numFmtId="0" fontId="1" fillId="19" borderId="0" applyNumberFormat="0" applyBorder="0" applyAlignment="0" applyProtection="0"/>
    <xf numFmtId="0" fontId="19" fillId="41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9" fillId="36" borderId="0" applyNumberFormat="0" applyBorder="0" applyAlignment="0" applyProtection="0"/>
    <xf numFmtId="0" fontId="1" fillId="23" borderId="0" applyNumberFormat="0" applyBorder="0" applyAlignment="0" applyProtection="0"/>
    <xf numFmtId="0" fontId="19" fillId="36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9" fillId="39" borderId="0" applyNumberFormat="0" applyBorder="0" applyAlignment="0" applyProtection="0"/>
    <xf numFmtId="0" fontId="1" fillId="27" borderId="0" applyNumberFormat="0" applyBorder="0" applyAlignment="0" applyProtection="0"/>
    <xf numFmtId="0" fontId="19" fillId="39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9" fillId="42" borderId="0" applyNumberFormat="0" applyBorder="0" applyAlignment="0" applyProtection="0"/>
    <xf numFmtId="0" fontId="1" fillId="31" borderId="0" applyNumberFormat="0" applyBorder="0" applyAlignment="0" applyProtection="0"/>
    <xf numFmtId="0" fontId="19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18" fillId="1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18" fillId="16" borderId="0" applyNumberFormat="0" applyBorder="0" applyAlignment="0" applyProtection="0"/>
    <xf numFmtId="0" fontId="24" fillId="41" borderId="0" applyNumberFormat="0" applyBorder="0" applyAlignment="0" applyProtection="0"/>
    <xf numFmtId="0" fontId="24" fillId="41" borderId="0" applyNumberFormat="0" applyBorder="0" applyAlignment="0" applyProtection="0"/>
    <xf numFmtId="0" fontId="18" fillId="20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18" fillId="24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18" fillId="28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18" fillId="32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38" fillId="0" borderId="0">
      <alignment horizontal="center" wrapText="1"/>
      <protection locked="0"/>
    </xf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5" borderId="0" applyNumberFormat="0" applyBorder="0" applyAlignment="0" applyProtection="0"/>
    <xf numFmtId="0" fontId="8" fillId="2" borderId="0" applyNumberFormat="0" applyBorder="0" applyAlignment="0" applyProtection="0"/>
    <xf numFmtId="169" fontId="3" fillId="0" borderId="0" applyFill="0" applyBorder="0" applyAlignment="0"/>
    <xf numFmtId="0" fontId="26" fillId="53" borderId="11" applyNumberFormat="0" applyAlignment="0" applyProtection="0"/>
    <xf numFmtId="0" fontId="26" fillId="53" borderId="11" applyNumberFormat="0" applyAlignment="0" applyProtection="0"/>
    <xf numFmtId="0" fontId="26" fillId="53" borderId="11" applyNumberFormat="0" applyAlignment="0" applyProtection="0"/>
    <xf numFmtId="0" fontId="26" fillId="53" borderId="11" applyNumberFormat="0" applyAlignment="0" applyProtection="0"/>
    <xf numFmtId="0" fontId="13" fillId="6" borderId="5" applyNumberFormat="0" applyAlignment="0" applyProtection="0"/>
    <xf numFmtId="0" fontId="26" fillId="53" borderId="11" applyNumberFormat="0" applyAlignment="0" applyProtection="0"/>
    <xf numFmtId="0" fontId="27" fillId="54" borderId="12" applyNumberFormat="0" applyAlignment="0" applyProtection="0"/>
    <xf numFmtId="0" fontId="27" fillId="54" borderId="12" applyNumberFormat="0" applyAlignment="0" applyProtection="0"/>
    <xf numFmtId="0" fontId="15" fillId="7" borderId="8" applyNumberFormat="0" applyAlignment="0" applyProtection="0"/>
    <xf numFmtId="0" fontId="28" fillId="0" borderId="13" applyNumberFormat="0" applyFill="0" applyAlignment="0" applyProtection="0"/>
    <xf numFmtId="0" fontId="28" fillId="0" borderId="13" applyNumberFormat="0" applyFill="0" applyAlignment="0" applyProtection="0"/>
    <xf numFmtId="0" fontId="14" fillId="0" borderId="7" applyNumberFormat="0" applyFill="0" applyAlignment="0" applyProtection="0"/>
    <xf numFmtId="0" fontId="27" fillId="49" borderId="12" applyNumberFormat="0" applyAlignment="0" applyProtection="0"/>
    <xf numFmtId="0" fontId="27" fillId="54" borderId="12" applyNumberFormat="0" applyAlignment="0" applyProtection="0"/>
    <xf numFmtId="41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3" fontId="39" fillId="0" borderId="0" applyFont="0" applyFill="0" applyBorder="0" applyAlignment="0" applyProtection="0"/>
    <xf numFmtId="0" fontId="40" fillId="0" borderId="0" applyNumberFormat="0" applyAlignment="0">
      <alignment horizontal="left"/>
    </xf>
    <xf numFmtId="0" fontId="41" fillId="0" borderId="0" applyNumberFormat="0" applyAlignment="0"/>
    <xf numFmtId="170" fontId="3" fillId="0" borderId="0" applyFont="0" applyFill="0" applyBorder="0" applyAlignment="0" applyProtection="0"/>
    <xf numFmtId="164" fontId="42" fillId="0" borderId="0" applyFont="0" applyFill="0" applyBorder="0" applyAlignment="0" applyProtection="0"/>
    <xf numFmtId="14" fontId="42" fillId="0" borderId="0" applyFont="0" applyFill="0" applyBorder="0" applyAlignment="0" applyProtection="0"/>
    <xf numFmtId="16" fontId="42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2" fillId="55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19" fillId="58" borderId="0" applyNumberFormat="0" applyBorder="0" applyAlignment="0" applyProtection="0"/>
    <xf numFmtId="0" fontId="19" fillId="58" borderId="0" applyNumberFormat="0" applyBorder="0" applyAlignment="0" applyProtection="0"/>
    <xf numFmtId="0" fontId="19" fillId="58" borderId="0" applyNumberFormat="0" applyBorder="0" applyAlignment="0" applyProtection="0"/>
    <xf numFmtId="0" fontId="19" fillId="58" borderId="0" applyNumberFormat="0" applyBorder="0" applyAlignment="0" applyProtection="0"/>
    <xf numFmtId="0" fontId="19" fillId="58" borderId="0" applyNumberFormat="0" applyBorder="0" applyAlignment="0" applyProtection="0"/>
    <xf numFmtId="0" fontId="19" fillId="58" borderId="0" applyNumberFormat="0" applyBorder="0" applyAlignment="0" applyProtection="0"/>
    <xf numFmtId="0" fontId="19" fillId="58" borderId="0" applyNumberFormat="0" applyBorder="0" applyAlignment="0" applyProtection="0"/>
    <xf numFmtId="0" fontId="19" fillId="58" borderId="0" applyNumberFormat="0" applyBorder="0" applyAlignment="0" applyProtection="0"/>
    <xf numFmtId="0" fontId="19" fillId="58" borderId="0" applyNumberFormat="0" applyBorder="0" applyAlignment="0" applyProtection="0"/>
    <xf numFmtId="0" fontId="19" fillId="58" borderId="0" applyNumberFormat="0" applyBorder="0" applyAlignment="0" applyProtection="0"/>
    <xf numFmtId="0" fontId="19" fillId="58" borderId="0" applyNumberFormat="0" applyBorder="0" applyAlignment="0" applyProtection="0"/>
    <xf numFmtId="0" fontId="19" fillId="58" borderId="0" applyNumberFormat="0" applyBorder="0" applyAlignment="0" applyProtection="0"/>
    <xf numFmtId="0" fontId="24" fillId="59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19" fillId="60" borderId="0" applyNumberFormat="0" applyBorder="0" applyAlignment="0" applyProtection="0"/>
    <xf numFmtId="0" fontId="19" fillId="60" borderId="0" applyNumberFormat="0" applyBorder="0" applyAlignment="0" applyProtection="0"/>
    <xf numFmtId="0" fontId="19" fillId="60" borderId="0" applyNumberFormat="0" applyBorder="0" applyAlignment="0" applyProtection="0"/>
    <xf numFmtId="0" fontId="19" fillId="60" borderId="0" applyNumberFormat="0" applyBorder="0" applyAlignment="0" applyProtection="0"/>
    <xf numFmtId="0" fontId="19" fillId="60" borderId="0" applyNumberFormat="0" applyBorder="0" applyAlignment="0" applyProtection="0"/>
    <xf numFmtId="0" fontId="19" fillId="60" borderId="0" applyNumberFormat="0" applyBorder="0" applyAlignment="0" applyProtection="0"/>
    <xf numFmtId="0" fontId="19" fillId="61" borderId="0" applyNumberFormat="0" applyBorder="0" applyAlignment="0" applyProtection="0"/>
    <xf numFmtId="0" fontId="19" fillId="61" borderId="0" applyNumberFormat="0" applyBorder="0" applyAlignment="0" applyProtection="0"/>
    <xf numFmtId="0" fontId="19" fillId="61" borderId="0" applyNumberFormat="0" applyBorder="0" applyAlignment="0" applyProtection="0"/>
    <xf numFmtId="0" fontId="19" fillId="61" borderId="0" applyNumberFormat="0" applyBorder="0" applyAlignment="0" applyProtection="0"/>
    <xf numFmtId="0" fontId="19" fillId="61" borderId="0" applyNumberFormat="0" applyBorder="0" applyAlignment="0" applyProtection="0"/>
    <xf numFmtId="0" fontId="19" fillId="61" borderId="0" applyNumberFormat="0" applyBorder="0" applyAlignment="0" applyProtection="0"/>
    <xf numFmtId="0" fontId="24" fillId="49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18" fillId="13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19" fillId="60" borderId="0" applyNumberFormat="0" applyBorder="0" applyAlignment="0" applyProtection="0"/>
    <xf numFmtId="0" fontId="19" fillId="60" borderId="0" applyNumberFormat="0" applyBorder="0" applyAlignment="0" applyProtection="0"/>
    <xf numFmtId="0" fontId="19" fillId="60" borderId="0" applyNumberFormat="0" applyBorder="0" applyAlignment="0" applyProtection="0"/>
    <xf numFmtId="0" fontId="19" fillId="60" borderId="0" applyNumberFormat="0" applyBorder="0" applyAlignment="0" applyProtection="0"/>
    <xf numFmtId="0" fontId="19" fillId="60" borderId="0" applyNumberFormat="0" applyBorder="0" applyAlignment="0" applyProtection="0"/>
    <xf numFmtId="0" fontId="19" fillId="60" borderId="0" applyNumberFormat="0" applyBorder="0" applyAlignment="0" applyProtection="0"/>
    <xf numFmtId="0" fontId="19" fillId="62" borderId="0" applyNumberFormat="0" applyBorder="0" applyAlignment="0" applyProtection="0"/>
    <xf numFmtId="0" fontId="19" fillId="62" borderId="0" applyNumberFormat="0" applyBorder="0" applyAlignment="0" applyProtection="0"/>
    <xf numFmtId="0" fontId="19" fillId="62" borderId="0" applyNumberFormat="0" applyBorder="0" applyAlignment="0" applyProtection="0"/>
    <xf numFmtId="0" fontId="19" fillId="62" borderId="0" applyNumberFormat="0" applyBorder="0" applyAlignment="0" applyProtection="0"/>
    <xf numFmtId="0" fontId="19" fillId="62" borderId="0" applyNumberFormat="0" applyBorder="0" applyAlignment="0" applyProtection="0"/>
    <xf numFmtId="0" fontId="19" fillId="62" borderId="0" applyNumberFormat="0" applyBorder="0" applyAlignment="0" applyProtection="0"/>
    <xf numFmtId="0" fontId="24" fillId="61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18" fillId="17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19" fillId="58" borderId="0" applyNumberFormat="0" applyBorder="0" applyAlignment="0" applyProtection="0"/>
    <xf numFmtId="0" fontId="19" fillId="58" borderId="0" applyNumberFormat="0" applyBorder="0" applyAlignment="0" applyProtection="0"/>
    <xf numFmtId="0" fontId="19" fillId="58" borderId="0" applyNumberFormat="0" applyBorder="0" applyAlignment="0" applyProtection="0"/>
    <xf numFmtId="0" fontId="19" fillId="58" borderId="0" applyNumberFormat="0" applyBorder="0" applyAlignment="0" applyProtection="0"/>
    <xf numFmtId="0" fontId="19" fillId="58" borderId="0" applyNumberFormat="0" applyBorder="0" applyAlignment="0" applyProtection="0"/>
    <xf numFmtId="0" fontId="19" fillId="58" borderId="0" applyNumberFormat="0" applyBorder="0" applyAlignment="0" applyProtection="0"/>
    <xf numFmtId="0" fontId="19" fillId="61" borderId="0" applyNumberFormat="0" applyBorder="0" applyAlignment="0" applyProtection="0"/>
    <xf numFmtId="0" fontId="19" fillId="61" borderId="0" applyNumberFormat="0" applyBorder="0" applyAlignment="0" applyProtection="0"/>
    <xf numFmtId="0" fontId="19" fillId="61" borderId="0" applyNumberFormat="0" applyBorder="0" applyAlignment="0" applyProtection="0"/>
    <xf numFmtId="0" fontId="19" fillId="61" borderId="0" applyNumberFormat="0" applyBorder="0" applyAlignment="0" applyProtection="0"/>
    <xf numFmtId="0" fontId="19" fillId="61" borderId="0" applyNumberFormat="0" applyBorder="0" applyAlignment="0" applyProtection="0"/>
    <xf numFmtId="0" fontId="19" fillId="61" borderId="0" applyNumberFormat="0" applyBorder="0" applyAlignment="0" applyProtection="0"/>
    <xf numFmtId="0" fontId="24" fillId="61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18" fillId="21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63" borderId="0" applyNumberFormat="0" applyBorder="0" applyAlignment="0" applyProtection="0"/>
    <xf numFmtId="0" fontId="19" fillId="58" borderId="0" applyNumberFormat="0" applyBorder="0" applyAlignment="0" applyProtection="0"/>
    <xf numFmtId="0" fontId="19" fillId="58" borderId="0" applyNumberFormat="0" applyBorder="0" applyAlignment="0" applyProtection="0"/>
    <xf numFmtId="0" fontId="19" fillId="58" borderId="0" applyNumberFormat="0" applyBorder="0" applyAlignment="0" applyProtection="0"/>
    <xf numFmtId="0" fontId="19" fillId="58" borderId="0" applyNumberFormat="0" applyBorder="0" applyAlignment="0" applyProtection="0"/>
    <xf numFmtId="0" fontId="19" fillId="58" borderId="0" applyNumberFormat="0" applyBorder="0" applyAlignment="0" applyProtection="0"/>
    <xf numFmtId="0" fontId="19" fillId="58" borderId="0" applyNumberFormat="0" applyBorder="0" applyAlignment="0" applyProtection="0"/>
    <xf numFmtId="0" fontId="24" fillId="59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18" fillId="2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19" fillId="60" borderId="0" applyNumberFormat="0" applyBorder="0" applyAlignment="0" applyProtection="0"/>
    <xf numFmtId="0" fontId="19" fillId="60" borderId="0" applyNumberFormat="0" applyBorder="0" applyAlignment="0" applyProtection="0"/>
    <xf numFmtId="0" fontId="19" fillId="60" borderId="0" applyNumberFormat="0" applyBorder="0" applyAlignment="0" applyProtection="0"/>
    <xf numFmtId="0" fontId="19" fillId="60" borderId="0" applyNumberFormat="0" applyBorder="0" applyAlignment="0" applyProtection="0"/>
    <xf numFmtId="0" fontId="19" fillId="60" borderId="0" applyNumberFormat="0" applyBorder="0" applyAlignment="0" applyProtection="0"/>
    <xf numFmtId="0" fontId="19" fillId="60" borderId="0" applyNumberFormat="0" applyBorder="0" applyAlignment="0" applyProtection="0"/>
    <xf numFmtId="0" fontId="19" fillId="64" borderId="0" applyNumberFormat="0" applyBorder="0" applyAlignment="0" applyProtection="0"/>
    <xf numFmtId="0" fontId="19" fillId="64" borderId="0" applyNumberFormat="0" applyBorder="0" applyAlignment="0" applyProtection="0"/>
    <xf numFmtId="0" fontId="19" fillId="64" borderId="0" applyNumberFormat="0" applyBorder="0" applyAlignment="0" applyProtection="0"/>
    <xf numFmtId="0" fontId="19" fillId="64" borderId="0" applyNumberFormat="0" applyBorder="0" applyAlignment="0" applyProtection="0"/>
    <xf numFmtId="0" fontId="19" fillId="64" borderId="0" applyNumberFormat="0" applyBorder="0" applyAlignment="0" applyProtection="0"/>
    <xf numFmtId="0" fontId="19" fillId="64" borderId="0" applyNumberFormat="0" applyBorder="0" applyAlignment="0" applyProtection="0"/>
    <xf numFmtId="0" fontId="24" fillId="64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43" fillId="0" borderId="0" applyNumberFormat="0" applyAlignment="0">
      <alignment horizontal="left"/>
    </xf>
    <xf numFmtId="0" fontId="29" fillId="38" borderId="11" applyNumberFormat="0" applyAlignment="0" applyProtection="0"/>
    <xf numFmtId="0" fontId="29" fillId="38" borderId="11" applyNumberFormat="0" applyAlignment="0" applyProtection="0"/>
    <xf numFmtId="0" fontId="11" fillId="5" borderId="5" applyNumberFormat="0" applyAlignment="0" applyProtection="0"/>
    <xf numFmtId="0" fontId="3" fillId="0" borderId="0" applyAlignment="0"/>
    <xf numFmtId="0" fontId="44" fillId="0" borderId="0"/>
    <xf numFmtId="0" fontId="3" fillId="0" borderId="0" applyAlignment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0" fontId="45" fillId="0" borderId="0" applyProtection="0"/>
    <xf numFmtId="0" fontId="46" fillId="0" borderId="0" applyProtection="0"/>
    <xf numFmtId="0" fontId="47" fillId="0" borderId="0" applyProtection="0"/>
    <xf numFmtId="0" fontId="48" fillId="0" borderId="0" applyProtection="0"/>
    <xf numFmtId="0" fontId="49" fillId="0" borderId="0" applyProtection="0"/>
    <xf numFmtId="0" fontId="38" fillId="0" borderId="0" applyProtection="0"/>
    <xf numFmtId="0" fontId="50" fillId="0" borderId="0" applyProtection="0"/>
    <xf numFmtId="2" fontId="42" fillId="0" borderId="0" applyFont="0" applyFill="0" applyBorder="0" applyAlignment="0" applyProtection="0"/>
    <xf numFmtId="0" fontId="25" fillId="62" borderId="0" applyNumberFormat="0" applyBorder="0" applyAlignment="0" applyProtection="0"/>
    <xf numFmtId="0" fontId="25" fillId="35" borderId="0" applyNumberFormat="0" applyBorder="0" applyAlignment="0" applyProtection="0"/>
    <xf numFmtId="38" fontId="46" fillId="65" borderId="0" applyNumberFormat="0" applyBorder="0" applyAlignment="0" applyProtection="0"/>
    <xf numFmtId="0" fontId="46" fillId="65" borderId="0" applyNumberFormat="0" applyBorder="0" applyAlignment="0" applyProtection="0"/>
    <xf numFmtId="0" fontId="51" fillId="0" borderId="15" applyNumberFormat="0" applyAlignment="0" applyProtection="0">
      <alignment horizontal="left" vertical="center"/>
    </xf>
    <xf numFmtId="0" fontId="51" fillId="0" borderId="16">
      <alignment horizontal="left" vertical="center"/>
    </xf>
    <xf numFmtId="0" fontId="52" fillId="0" borderId="0" applyNumberFormat="0" applyFont="0" applyFill="0" applyAlignment="0" applyProtection="0"/>
    <xf numFmtId="0" fontId="35" fillId="0" borderId="14" applyNumberFormat="0" applyFill="0" applyAlignment="0" applyProtection="0"/>
    <xf numFmtId="0" fontId="35" fillId="0" borderId="14" applyNumberFormat="0" applyFill="0" applyAlignment="0" applyProtection="0"/>
    <xf numFmtId="0" fontId="36" fillId="0" borderId="17" applyNumberFormat="0" applyFill="0" applyAlignment="0" applyProtection="0"/>
    <xf numFmtId="0" fontId="36" fillId="0" borderId="17" applyNumberFormat="0" applyFill="0" applyAlignment="0" applyProtection="0"/>
    <xf numFmtId="0" fontId="20" fillId="0" borderId="18" applyNumberFormat="0" applyFill="0" applyAlignment="0" applyProtection="0"/>
    <xf numFmtId="0" fontId="20" fillId="0" borderId="18" applyNumberFormat="0" applyFill="0" applyAlignment="0" applyProtection="0"/>
    <xf numFmtId="0" fontId="53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54" fillId="0" borderId="0" applyNumberFormat="0" applyFill="0" applyBorder="0" applyAlignment="0" applyProtection="0">
      <alignment vertical="top"/>
      <protection locked="0"/>
    </xf>
    <xf numFmtId="0" fontId="30" fillId="34" borderId="0" applyNumberFormat="0" applyBorder="0" applyAlignment="0" applyProtection="0"/>
    <xf numFmtId="0" fontId="30" fillId="34" borderId="0" applyNumberFormat="0" applyBorder="0" applyAlignment="0" applyProtection="0"/>
    <xf numFmtId="0" fontId="9" fillId="3" borderId="0" applyNumberFormat="0" applyBorder="0" applyAlignment="0" applyProtection="0"/>
    <xf numFmtId="0" fontId="29" fillId="64" borderId="11" applyNumberFormat="0" applyAlignment="0" applyProtection="0"/>
    <xf numFmtId="10" fontId="46" fillId="66" borderId="1" applyNumberFormat="0" applyBorder="0" applyAlignment="0" applyProtection="0"/>
    <xf numFmtId="0" fontId="29" fillId="38" borderId="11" applyNumberFormat="0" applyAlignment="0" applyProtection="0"/>
    <xf numFmtId="176" fontId="55" fillId="67" borderId="0"/>
    <xf numFmtId="0" fontId="56" fillId="0" borderId="13" applyNumberFormat="0" applyFill="0" applyAlignment="0" applyProtection="0"/>
    <xf numFmtId="0" fontId="28" fillId="0" borderId="13" applyNumberFormat="0" applyFill="0" applyAlignment="0" applyProtection="0"/>
    <xf numFmtId="176" fontId="57" fillId="68" borderId="0"/>
    <xf numFmtId="166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80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0" fontId="21" fillId="69" borderId="0" applyNumberFormat="0" applyBorder="0" applyAlignment="0" applyProtection="0"/>
    <xf numFmtId="0" fontId="21" fillId="69" borderId="0" applyNumberFormat="0" applyBorder="0" applyAlignment="0" applyProtection="0"/>
    <xf numFmtId="0" fontId="10" fillId="4" borderId="0" applyNumberFormat="0" applyBorder="0" applyAlignment="0" applyProtection="0"/>
    <xf numFmtId="182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3" fillId="0" borderId="0"/>
    <xf numFmtId="0" fontId="3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4" fontId="3" fillId="0" borderId="0"/>
    <xf numFmtId="184" fontId="3" fillId="0" borderId="0"/>
    <xf numFmtId="0" fontId="1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9" fillId="70" borderId="19" applyNumberFormat="0" applyFont="0" applyAlignment="0" applyProtection="0"/>
    <xf numFmtId="0" fontId="19" fillId="70" borderId="19" applyNumberFormat="0" applyFont="0" applyAlignment="0" applyProtection="0"/>
    <xf numFmtId="0" fontId="19" fillId="70" borderId="19" applyNumberFormat="0" applyFont="0" applyAlignment="0" applyProtection="0"/>
    <xf numFmtId="0" fontId="19" fillId="70" borderId="19" applyNumberFormat="0" applyFont="0" applyAlignment="0" applyProtection="0"/>
    <xf numFmtId="0" fontId="3" fillId="70" borderId="19" applyNumberFormat="0" applyFont="0" applyAlignment="0" applyProtection="0"/>
    <xf numFmtId="0" fontId="19" fillId="70" borderId="19" applyNumberFormat="0" applyFont="0" applyAlignment="0" applyProtection="0"/>
    <xf numFmtId="0" fontId="19" fillId="70" borderId="1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70" borderId="1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70" borderId="1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19" fillId="8" borderId="9" applyNumberFormat="0" applyFont="0" applyAlignment="0" applyProtection="0"/>
    <xf numFmtId="0" fontId="3" fillId="60" borderId="19" applyNumberFormat="0" applyFont="0" applyAlignment="0" applyProtection="0"/>
    <xf numFmtId="0" fontId="37" fillId="70" borderId="19" applyNumberFormat="0" applyFont="0" applyAlignment="0" applyProtection="0"/>
    <xf numFmtId="0" fontId="37" fillId="70" borderId="19" applyNumberFormat="0" applyFont="0" applyAlignment="0" applyProtection="0"/>
    <xf numFmtId="40" fontId="58" fillId="0" borderId="0" applyFont="0" applyFill="0" applyBorder="0" applyAlignment="0" applyProtection="0"/>
    <xf numFmtId="38" fontId="58" fillId="0" borderId="0" applyFont="0" applyFill="0" applyBorder="0" applyAlignment="0" applyProtection="0"/>
    <xf numFmtId="0" fontId="31" fillId="53" borderId="20" applyNumberFormat="0" applyAlignment="0" applyProtection="0"/>
    <xf numFmtId="0" fontId="31" fillId="53" borderId="20" applyNumberFormat="0" applyAlignment="0" applyProtection="0"/>
    <xf numFmtId="14" fontId="38" fillId="0" borderId="0">
      <alignment horizontal="center" wrapText="1"/>
      <protection locked="0"/>
    </xf>
    <xf numFmtId="16" fontId="38" fillId="0" borderId="0">
      <alignment horizontal="center" wrapText="1"/>
      <protection locked="0"/>
    </xf>
    <xf numFmtId="1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59" fillId="0" borderId="0"/>
    <xf numFmtId="0" fontId="60" fillId="0" borderId="0" applyNumberFormat="0" applyFont="0" applyFill="0" applyBorder="0" applyAlignment="0" applyProtection="0">
      <alignment horizontal="left"/>
    </xf>
    <xf numFmtId="0" fontId="61" fillId="0" borderId="21">
      <alignment horizontal="center"/>
    </xf>
    <xf numFmtId="183" fontId="62" fillId="0" borderId="0" applyNumberFormat="0" applyFill="0" applyBorder="0" applyAlignment="0" applyProtection="0">
      <alignment horizontal="left"/>
    </xf>
    <xf numFmtId="0" fontId="31" fillId="53" borderId="20" applyNumberFormat="0" applyAlignment="0" applyProtection="0"/>
    <xf numFmtId="0" fontId="31" fillId="53" borderId="20" applyNumberFormat="0" applyAlignment="0" applyProtection="0"/>
    <xf numFmtId="0" fontId="12" fillId="6" borderId="6" applyNumberFormat="0" applyAlignment="0" applyProtection="0"/>
    <xf numFmtId="40" fontId="63" fillId="0" borderId="0" applyBorder="0">
      <alignment horizontal="right"/>
    </xf>
    <xf numFmtId="0" fontId="63" fillId="0" borderId="0" applyBorder="0">
      <alignment horizontal="right"/>
    </xf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35" fillId="0" borderId="14" applyNumberFormat="0" applyFill="0" applyAlignment="0" applyProtection="0"/>
    <xf numFmtId="0" fontId="35" fillId="0" borderId="14" applyNumberFormat="0" applyFill="0" applyAlignment="0" applyProtection="0"/>
    <xf numFmtId="0" fontId="5" fillId="0" borderId="2" applyNumberFormat="0" applyFill="0" applyAlignment="0" applyProtection="0"/>
    <xf numFmtId="0" fontId="36" fillId="0" borderId="17" applyNumberFormat="0" applyFill="0" applyAlignment="0" applyProtection="0"/>
    <xf numFmtId="0" fontId="36" fillId="0" borderId="17" applyNumberFormat="0" applyFill="0" applyAlignment="0" applyProtection="0"/>
    <xf numFmtId="0" fontId="6" fillId="0" borderId="3" applyNumberFormat="0" applyFill="0" applyAlignment="0" applyProtection="0"/>
    <xf numFmtId="0" fontId="20" fillId="0" borderId="18" applyNumberFormat="0" applyFill="0" applyAlignment="0" applyProtection="0"/>
    <xf numFmtId="0" fontId="20" fillId="0" borderId="18" applyNumberFormat="0" applyFill="0" applyAlignment="0" applyProtection="0"/>
    <xf numFmtId="0" fontId="7" fillId="0" borderId="4" applyNumberFormat="0" applyFill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22" fillId="0" borderId="22" applyNumberFormat="0" applyFill="0" applyAlignment="0" applyProtection="0"/>
    <xf numFmtId="0" fontId="22" fillId="0" borderId="22" applyNumberFormat="0" applyFill="0" applyAlignment="0" applyProtection="0"/>
    <xf numFmtId="0" fontId="2" fillId="0" borderId="10" applyNumberFormat="0" applyFill="0" applyAlignment="0" applyProtection="0"/>
    <xf numFmtId="0" fontId="32" fillId="0" borderId="0" applyNumberFormat="0" applyFill="0" applyBorder="0" applyAlignment="0" applyProtection="0"/>
    <xf numFmtId="0" fontId="31" fillId="53" borderId="33" applyNumberFormat="0" applyAlignment="0" applyProtection="0"/>
    <xf numFmtId="0" fontId="31" fillId="52" borderId="33" applyNumberFormat="0" applyAlignment="0" applyProtection="0"/>
    <xf numFmtId="0" fontId="37" fillId="70" borderId="32" applyNumberFormat="0" applyFont="0" applyAlignment="0" applyProtection="0"/>
    <xf numFmtId="0" fontId="3" fillId="60" borderId="32" applyNumberFormat="0" applyFont="0" applyAlignment="0" applyProtection="0"/>
    <xf numFmtId="0" fontId="19" fillId="70" borderId="32" applyNumberFormat="0" applyFont="0" applyAlignment="0" applyProtection="0"/>
    <xf numFmtId="0" fontId="19" fillId="70" borderId="32" applyNumberFormat="0" applyFont="0" applyAlignment="0" applyProtection="0"/>
    <xf numFmtId="0" fontId="19" fillId="70" borderId="32" applyNumberFormat="0" applyFont="0" applyAlignment="0" applyProtection="0"/>
    <xf numFmtId="0" fontId="19" fillId="70" borderId="32" applyNumberFormat="0" applyFont="0" applyAlignment="0" applyProtection="0"/>
    <xf numFmtId="0" fontId="3" fillId="70" borderId="32" applyNumberFormat="0" applyFont="0" applyAlignment="0" applyProtection="0"/>
    <xf numFmtId="0" fontId="19" fillId="70" borderId="32" applyNumberFormat="0" applyFont="0" applyAlignment="0" applyProtection="0"/>
    <xf numFmtId="0" fontId="19" fillId="70" borderId="32" applyNumberFormat="0" applyFont="0" applyAlignment="0" applyProtection="0"/>
    <xf numFmtId="0" fontId="19" fillId="70" borderId="32" applyNumberFormat="0" applyFont="0" applyAlignment="0" applyProtection="0"/>
    <xf numFmtId="0" fontId="19" fillId="70" borderId="32" applyNumberFormat="0" applyFont="0" applyAlignment="0" applyProtection="0"/>
    <xf numFmtId="0" fontId="23" fillId="52" borderId="24" applyNumberFormat="0" applyAlignment="0" applyProtection="0"/>
    <xf numFmtId="0" fontId="26" fillId="53" borderId="24" applyNumberFormat="0" applyAlignment="0" applyProtection="0"/>
    <xf numFmtId="0" fontId="26" fillId="53" borderId="24" applyNumberFormat="0" applyAlignment="0" applyProtection="0"/>
    <xf numFmtId="0" fontId="26" fillId="53" borderId="24" applyNumberFormat="0" applyAlignment="0" applyProtection="0"/>
    <xf numFmtId="0" fontId="26" fillId="53" borderId="24" applyNumberFormat="0" applyAlignment="0" applyProtection="0"/>
    <xf numFmtId="0" fontId="29" fillId="38" borderId="24" applyNumberFormat="0" applyAlignment="0" applyProtection="0"/>
    <xf numFmtId="0" fontId="29" fillId="38" borderId="24" applyNumberFormat="0" applyAlignment="0" applyProtection="0"/>
    <xf numFmtId="0" fontId="51" fillId="0" borderId="35">
      <alignment horizontal="left" vertical="center"/>
    </xf>
    <xf numFmtId="0" fontId="29" fillId="64" borderId="24" applyNumberFormat="0" applyAlignment="0" applyProtection="0"/>
    <xf numFmtId="0" fontId="51" fillId="0" borderId="25">
      <alignment horizontal="left" vertical="center"/>
    </xf>
    <xf numFmtId="0" fontId="29" fillId="64" borderId="30" applyNumberFormat="0" applyAlignment="0" applyProtection="0"/>
    <xf numFmtId="10" fontId="46" fillId="66" borderId="36" applyNumberFormat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0" fontId="29" fillId="64" borderId="24" applyNumberFormat="0" applyAlignment="0" applyProtection="0"/>
    <xf numFmtId="10" fontId="46" fillId="66" borderId="23" applyNumberFormat="0" applyBorder="0" applyAlignment="0" applyProtection="0"/>
    <xf numFmtId="0" fontId="29" fillId="38" borderId="24" applyNumberFormat="0" applyAlignment="0" applyProtection="0"/>
    <xf numFmtId="0" fontId="29" fillId="64" borderId="24" applyNumberFormat="0" applyAlignment="0" applyProtection="0"/>
    <xf numFmtId="0" fontId="29" fillId="64" borderId="24" applyNumberFormat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0" fontId="29" fillId="64" borderId="24" applyNumberFormat="0" applyAlignment="0" applyProtection="0"/>
    <xf numFmtId="166" fontId="19" fillId="0" borderId="0" applyFont="0" applyFill="0" applyBorder="0" applyAlignment="0" applyProtection="0"/>
    <xf numFmtId="0" fontId="29" fillId="38" borderId="30" applyNumberFormat="0" applyAlignment="0" applyProtection="0"/>
    <xf numFmtId="10" fontId="46" fillId="66" borderId="29" applyNumberFormat="0" applyBorder="0" applyAlignment="0" applyProtection="0"/>
    <xf numFmtId="0" fontId="29" fillId="64" borderId="30" applyNumberFormat="0" applyAlignment="0" applyProtection="0"/>
    <xf numFmtId="166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0" fontId="29" fillId="64" borderId="24" applyNumberFormat="0" applyAlignment="0" applyProtection="0"/>
    <xf numFmtId="0" fontId="29" fillId="64" borderId="24" applyNumberFormat="0" applyAlignment="0" applyProtection="0"/>
    <xf numFmtId="0" fontId="51" fillId="0" borderId="31">
      <alignment horizontal="left" vertical="center"/>
    </xf>
    <xf numFmtId="166" fontId="19" fillId="0" borderId="0" applyFont="0" applyFill="0" applyBorder="0" applyAlignment="0" applyProtection="0"/>
    <xf numFmtId="0" fontId="29" fillId="64" borderId="24" applyNumberFormat="0" applyAlignment="0" applyProtection="0"/>
    <xf numFmtId="0" fontId="29" fillId="38" borderId="30" applyNumberFormat="0" applyAlignment="0" applyProtection="0"/>
    <xf numFmtId="0" fontId="29" fillId="38" borderId="30" applyNumberFormat="0" applyAlignment="0" applyProtection="0"/>
    <xf numFmtId="0" fontId="26" fillId="53" borderId="30" applyNumberFormat="0" applyAlignment="0" applyProtection="0"/>
    <xf numFmtId="0" fontId="26" fillId="53" borderId="30" applyNumberFormat="0" applyAlignment="0" applyProtection="0"/>
    <xf numFmtId="0" fontId="26" fillId="53" borderId="30" applyNumberFormat="0" applyAlignment="0" applyProtection="0"/>
    <xf numFmtId="0" fontId="26" fillId="53" borderId="30" applyNumberFormat="0" applyAlignment="0" applyProtection="0"/>
    <xf numFmtId="0" fontId="23" fillId="52" borderId="30" applyNumberFormat="0" applyAlignment="0" applyProtection="0"/>
    <xf numFmtId="0" fontId="19" fillId="70" borderId="26" applyNumberFormat="0" applyFont="0" applyAlignment="0" applyProtection="0"/>
    <xf numFmtId="0" fontId="19" fillId="70" borderId="26" applyNumberFormat="0" applyFont="0" applyAlignment="0" applyProtection="0"/>
    <xf numFmtId="0" fontId="19" fillId="70" borderId="26" applyNumberFormat="0" applyFont="0" applyAlignment="0" applyProtection="0"/>
    <xf numFmtId="0" fontId="19" fillId="70" borderId="26" applyNumberFormat="0" applyFont="0" applyAlignment="0" applyProtection="0"/>
    <xf numFmtId="0" fontId="3" fillId="70" borderId="26" applyNumberFormat="0" applyFont="0" applyAlignment="0" applyProtection="0"/>
    <xf numFmtId="0" fontId="19" fillId="70" borderId="26" applyNumberFormat="0" applyFont="0" applyAlignment="0" applyProtection="0"/>
    <xf numFmtId="0" fontId="19" fillId="70" borderId="26" applyNumberFormat="0" applyFont="0" applyAlignment="0" applyProtection="0"/>
    <xf numFmtId="0" fontId="19" fillId="70" borderId="26" applyNumberFormat="0" applyFont="0" applyAlignment="0" applyProtection="0"/>
    <xf numFmtId="0" fontId="19" fillId="70" borderId="26" applyNumberFormat="0" applyFont="0" applyAlignment="0" applyProtection="0"/>
    <xf numFmtId="0" fontId="3" fillId="60" borderId="26" applyNumberFormat="0" applyFont="0" applyAlignment="0" applyProtection="0"/>
    <xf numFmtId="0" fontId="37" fillId="70" borderId="26" applyNumberFormat="0" applyFont="0" applyAlignment="0" applyProtection="0"/>
    <xf numFmtId="0" fontId="31" fillId="52" borderId="27" applyNumberFormat="0" applyAlignment="0" applyProtection="0"/>
    <xf numFmtId="0" fontId="31" fillId="53" borderId="27" applyNumberFormat="0" applyAlignment="0" applyProtection="0"/>
    <xf numFmtId="0" fontId="31" fillId="53" borderId="27" applyNumberFormat="0" applyAlignment="0" applyProtection="0"/>
    <xf numFmtId="0" fontId="31" fillId="53" borderId="27" applyNumberFormat="0" applyAlignment="0" applyProtection="0"/>
    <xf numFmtId="0" fontId="22" fillId="0" borderId="28" applyNumberFormat="0" applyFill="0" applyAlignment="0" applyProtection="0"/>
    <xf numFmtId="0" fontId="22" fillId="0" borderId="28" applyNumberFormat="0" applyFill="0" applyAlignment="0" applyProtection="0"/>
    <xf numFmtId="0" fontId="31" fillId="53" borderId="33" applyNumberFormat="0" applyAlignment="0" applyProtection="0"/>
    <xf numFmtId="0" fontId="31" fillId="53" borderId="33" applyNumberFormat="0" applyAlignment="0" applyProtection="0"/>
    <xf numFmtId="0" fontId="22" fillId="0" borderId="34" applyNumberFormat="0" applyFill="0" applyAlignment="0" applyProtection="0"/>
    <xf numFmtId="0" fontId="22" fillId="0" borderId="34" applyNumberFormat="0" applyFill="0" applyAlignment="0" applyProtection="0"/>
    <xf numFmtId="9" fontId="1" fillId="0" borderId="0" applyFont="0" applyFill="0" applyBorder="0" applyAlignment="0" applyProtection="0"/>
    <xf numFmtId="0" fontId="1" fillId="0" borderId="0" applyFont="0" applyFill="0" applyBorder="0" applyAlignment="0" applyProtection="0"/>
  </cellStyleXfs>
  <cellXfs count="817">
    <xf numFmtId="0" fontId="0" fillId="0" borderId="0" xfId="0"/>
    <xf numFmtId="0" fontId="4" fillId="0" borderId="0" xfId="0" applyFont="1"/>
    <xf numFmtId="166" fontId="0" fillId="0" borderId="0" xfId="1" applyFont="1"/>
    <xf numFmtId="0" fontId="4" fillId="0" borderId="0" xfId="0" applyFont="1" applyAlignment="1">
      <alignment vertical="center"/>
    </xf>
    <xf numFmtId="0" fontId="69" fillId="0" borderId="0" xfId="0" applyFont="1" applyAlignment="1">
      <alignment vertical="center"/>
    </xf>
    <xf numFmtId="0" fontId="0" fillId="0" borderId="0" xfId="0" applyAlignment="1">
      <alignment vertical="center"/>
    </xf>
    <xf numFmtId="0" fontId="67" fillId="0" borderId="0" xfId="0" applyFont="1" applyAlignment="1">
      <alignment horizontal="left" vertical="center" indent="17"/>
    </xf>
    <xf numFmtId="0" fontId="68" fillId="71" borderId="0" xfId="0" applyFont="1" applyFill="1" applyAlignment="1">
      <alignment horizontal="left" vertical="center" indent="17"/>
    </xf>
    <xf numFmtId="10" fontId="4" fillId="0" borderId="0" xfId="2842" applyNumberFormat="1" applyFont="1"/>
    <xf numFmtId="10" fontId="0" fillId="0" borderId="0" xfId="2842" applyNumberFormat="1" applyFont="1"/>
    <xf numFmtId="9" fontId="0" fillId="0" borderId="0" xfId="2842" applyFont="1"/>
    <xf numFmtId="9" fontId="4" fillId="0" borderId="0" xfId="2842" applyFont="1" applyAlignment="1">
      <alignment vertical="center"/>
    </xf>
    <xf numFmtId="9" fontId="4" fillId="0" borderId="0" xfId="2842" applyFont="1"/>
    <xf numFmtId="9" fontId="69" fillId="0" borderId="0" xfId="2842" applyFont="1" applyAlignment="1">
      <alignment vertical="center"/>
    </xf>
    <xf numFmtId="9" fontId="0" fillId="0" borderId="0" xfId="2842" applyFont="1" applyAlignment="1">
      <alignment vertical="center"/>
    </xf>
    <xf numFmtId="10" fontId="4" fillId="0" borderId="0" xfId="2842" applyNumberFormat="1" applyFont="1" applyAlignment="1">
      <alignment vertical="center"/>
    </xf>
    <xf numFmtId="10" fontId="69" fillId="0" borderId="0" xfId="2842" applyNumberFormat="1" applyFont="1" applyAlignment="1">
      <alignment vertical="center"/>
    </xf>
    <xf numFmtId="10" fontId="0" fillId="0" borderId="0" xfId="2842" applyNumberFormat="1" applyFont="1" applyAlignment="1">
      <alignment vertical="center"/>
    </xf>
    <xf numFmtId="188" fontId="72" fillId="0" borderId="0" xfId="1" applyNumberFormat="1" applyFont="1" applyAlignment="1">
      <alignment horizontal="center" vertical="center"/>
    </xf>
    <xf numFmtId="185" fontId="72" fillId="0" borderId="0" xfId="1" applyNumberFormat="1" applyFont="1" applyAlignment="1">
      <alignment vertical="center"/>
    </xf>
    <xf numFmtId="10" fontId="72" fillId="0" borderId="0" xfId="2842" applyNumberFormat="1" applyFont="1" applyAlignment="1">
      <alignment vertical="center"/>
    </xf>
    <xf numFmtId="9" fontId="72" fillId="0" borderId="0" xfId="2842" applyFont="1" applyAlignment="1">
      <alignment horizontal="center" vertical="center"/>
    </xf>
    <xf numFmtId="49" fontId="72" fillId="0" borderId="0" xfId="0" applyNumberFormat="1" applyFont="1" applyAlignment="1">
      <alignment vertical="center" wrapText="1"/>
    </xf>
    <xf numFmtId="0" fontId="72" fillId="0" borderId="0" xfId="0" applyFont="1" applyAlignment="1">
      <alignment vertical="center"/>
    </xf>
    <xf numFmtId="0" fontId="72" fillId="0" borderId="0" xfId="0" applyFont="1" applyAlignment="1">
      <alignment horizontal="right" vertical="center"/>
    </xf>
    <xf numFmtId="0" fontId="73" fillId="0" borderId="0" xfId="0" applyFont="1" applyAlignment="1">
      <alignment horizontal="right" vertical="center"/>
    </xf>
    <xf numFmtId="0" fontId="72" fillId="0" borderId="0" xfId="0" applyFont="1" applyAlignment="1">
      <alignment horizontal="center" vertical="center"/>
    </xf>
    <xf numFmtId="0" fontId="70" fillId="0" borderId="0" xfId="0" applyFont="1" applyAlignment="1">
      <alignment vertical="center"/>
    </xf>
    <xf numFmtId="9" fontId="72" fillId="0" borderId="0" xfId="2842" applyFont="1" applyAlignment="1">
      <alignment vertical="center"/>
    </xf>
    <xf numFmtId="49" fontId="72" fillId="0" borderId="0" xfId="0" applyNumberFormat="1" applyFont="1" applyAlignment="1">
      <alignment vertical="center"/>
    </xf>
    <xf numFmtId="49" fontId="72" fillId="0" borderId="0" xfId="1" applyNumberFormat="1" applyFont="1" applyAlignment="1">
      <alignment vertical="center"/>
    </xf>
    <xf numFmtId="188" fontId="72" fillId="0" borderId="0" xfId="1" applyNumberFormat="1" applyFont="1" applyAlignment="1">
      <alignment horizontal="right" vertical="center"/>
    </xf>
    <xf numFmtId="9" fontId="72" fillId="0" borderId="0" xfId="2842" applyFont="1" applyAlignment="1">
      <alignment vertical="center" wrapText="1"/>
    </xf>
    <xf numFmtId="188" fontId="72" fillId="0" borderId="0" xfId="1" applyNumberFormat="1" applyFont="1" applyAlignment="1">
      <alignment horizontal="left" vertical="center"/>
    </xf>
    <xf numFmtId="195" fontId="72" fillId="0" borderId="0" xfId="1" applyNumberFormat="1" applyFont="1" applyAlignment="1">
      <alignment horizontal="right" vertical="center"/>
    </xf>
    <xf numFmtId="193" fontId="71" fillId="0" borderId="0" xfId="1" applyNumberFormat="1" applyFont="1" applyAlignment="1">
      <alignment horizontal="left" vertical="top"/>
    </xf>
    <xf numFmtId="0" fontId="67" fillId="0" borderId="0" xfId="0" applyFont="1" applyAlignment="1">
      <alignment horizontal="right" vertical="center"/>
    </xf>
    <xf numFmtId="0" fontId="75" fillId="0" borderId="0" xfId="0" applyFont="1" applyAlignment="1">
      <alignment horizontal="right" vertical="center"/>
    </xf>
    <xf numFmtId="166" fontId="67" fillId="0" borderId="0" xfId="1" applyFont="1" applyAlignment="1">
      <alignment horizontal="right" vertical="top"/>
    </xf>
    <xf numFmtId="0" fontId="67" fillId="0" borderId="0" xfId="0" applyFont="1" applyAlignment="1">
      <alignment vertical="top"/>
    </xf>
    <xf numFmtId="9" fontId="67" fillId="0" borderId="0" xfId="2842" applyFont="1" applyAlignment="1">
      <alignment horizontal="right" vertical="top"/>
    </xf>
    <xf numFmtId="166" fontId="67" fillId="0" borderId="0" xfId="1" applyFont="1" applyAlignment="1">
      <alignment horizontal="center" vertical="top"/>
    </xf>
    <xf numFmtId="49" fontId="67" fillId="0" borderId="0" xfId="1" applyNumberFormat="1" applyFont="1" applyAlignment="1">
      <alignment horizontal="left" vertical="top" wrapText="1"/>
    </xf>
    <xf numFmtId="197" fontId="67" fillId="0" borderId="0" xfId="1" applyNumberFormat="1" applyFont="1" applyAlignment="1">
      <alignment horizontal="right" vertical="top"/>
    </xf>
    <xf numFmtId="185" fontId="75" fillId="0" borderId="0" xfId="1" applyNumberFormat="1" applyFont="1" applyAlignment="1">
      <alignment horizontal="center" vertical="center"/>
    </xf>
    <xf numFmtId="49" fontId="67" fillId="0" borderId="0" xfId="0" applyNumberFormat="1" applyFont="1" applyAlignment="1">
      <alignment vertical="center" wrapText="1"/>
    </xf>
    <xf numFmtId="49" fontId="67" fillId="0" borderId="0" xfId="0" applyNumberFormat="1" applyFont="1" applyAlignment="1">
      <alignment vertical="center"/>
    </xf>
    <xf numFmtId="0" fontId="67" fillId="0" borderId="0" xfId="0" applyFont="1" applyAlignment="1">
      <alignment vertical="center"/>
    </xf>
    <xf numFmtId="0" fontId="67" fillId="0" borderId="0" xfId="0" applyFont="1"/>
    <xf numFmtId="188" fontId="75" fillId="0" borderId="0" xfId="1" applyNumberFormat="1" applyFont="1" applyAlignment="1">
      <alignment horizontal="right" vertical="center"/>
    </xf>
    <xf numFmtId="188" fontId="75" fillId="0" borderId="0" xfId="1" applyNumberFormat="1" applyFont="1" applyAlignment="1">
      <alignment horizontal="center" vertical="center"/>
    </xf>
    <xf numFmtId="49" fontId="75" fillId="0" borderId="0" xfId="0" applyNumberFormat="1" applyFont="1" applyAlignment="1">
      <alignment horizontal="center" vertical="center" wrapText="1"/>
    </xf>
    <xf numFmtId="0" fontId="75" fillId="0" borderId="0" xfId="0" applyFont="1" applyAlignment="1">
      <alignment horizontal="center" vertical="center"/>
    </xf>
    <xf numFmtId="14" fontId="75" fillId="0" borderId="0" xfId="0" applyNumberFormat="1" applyFont="1" applyAlignment="1" applyProtection="1">
      <alignment horizontal="center" vertical="center"/>
      <protection locked="0"/>
    </xf>
    <xf numFmtId="9" fontId="75" fillId="0" borderId="0" xfId="2842" applyFont="1" applyAlignment="1">
      <alignment horizontal="center" vertical="center"/>
    </xf>
    <xf numFmtId="0" fontId="75" fillId="0" borderId="0" xfId="0" applyFont="1" applyAlignment="1" applyProtection="1">
      <alignment horizontal="center" vertical="center"/>
      <protection locked="0"/>
    </xf>
    <xf numFmtId="14" fontId="75" fillId="0" borderId="0" xfId="2842" applyNumberFormat="1" applyFont="1" applyAlignment="1" applyProtection="1">
      <alignment horizontal="center" vertical="center"/>
      <protection locked="0"/>
    </xf>
    <xf numFmtId="49" fontId="75" fillId="0" borderId="0" xfId="1" applyNumberFormat="1" applyFont="1" applyAlignment="1">
      <alignment horizontal="center" vertical="center"/>
    </xf>
    <xf numFmtId="166" fontId="75" fillId="0" borderId="0" xfId="1" applyFont="1" applyAlignment="1">
      <alignment horizontal="center" vertical="center"/>
    </xf>
    <xf numFmtId="1" fontId="75" fillId="0" borderId="0" xfId="1" applyNumberFormat="1" applyFont="1" applyAlignment="1">
      <alignment horizontal="center" vertical="center"/>
    </xf>
    <xf numFmtId="0" fontId="75" fillId="0" borderId="0" xfId="0" applyFont="1" applyAlignment="1">
      <alignment horizontal="center"/>
    </xf>
    <xf numFmtId="188" fontId="67" fillId="0" borderId="0" xfId="1" applyNumberFormat="1" applyFont="1" applyAlignment="1">
      <alignment horizontal="left" vertical="top"/>
    </xf>
    <xf numFmtId="49" fontId="71" fillId="0" borderId="0" xfId="1" applyNumberFormat="1" applyFont="1" applyAlignment="1">
      <alignment horizontal="left" vertical="top" wrapText="1"/>
    </xf>
    <xf numFmtId="9" fontId="67" fillId="0" borderId="0" xfId="2842" applyFont="1" applyAlignment="1">
      <alignment horizontal="center" vertical="top"/>
    </xf>
    <xf numFmtId="185" fontId="67" fillId="0" borderId="0" xfId="1" applyNumberFormat="1" applyFont="1" applyAlignment="1">
      <alignment horizontal="right" vertical="top"/>
    </xf>
    <xf numFmtId="17" fontId="75" fillId="0" borderId="0" xfId="0" applyNumberFormat="1" applyFont="1" applyAlignment="1">
      <alignment horizontal="center" vertical="center"/>
    </xf>
    <xf numFmtId="49" fontId="67" fillId="0" borderId="0" xfId="0" applyNumberFormat="1" applyFont="1" applyAlignment="1">
      <alignment horizontal="center" vertical="center" wrapText="1"/>
    </xf>
    <xf numFmtId="49" fontId="72" fillId="0" borderId="0" xfId="0" applyNumberFormat="1" applyFont="1" applyAlignment="1">
      <alignment horizontal="center" vertical="center" wrapText="1"/>
    </xf>
    <xf numFmtId="0" fontId="75" fillId="0" borderId="0" xfId="0" applyFont="1" applyAlignment="1">
      <alignment vertical="center"/>
    </xf>
    <xf numFmtId="1" fontId="67" fillId="0" borderId="41" xfId="1" applyNumberFormat="1" applyFont="1" applyBorder="1" applyAlignment="1">
      <alignment horizontal="right" vertical="center"/>
    </xf>
    <xf numFmtId="188" fontId="67" fillId="0" borderId="41" xfId="1" applyNumberFormat="1" applyFont="1" applyBorder="1" applyAlignment="1">
      <alignment horizontal="center" vertical="center"/>
    </xf>
    <xf numFmtId="49" fontId="67" fillId="0" borderId="41" xfId="0" applyNumberFormat="1" applyFont="1" applyBorder="1" applyAlignment="1">
      <alignment vertical="center" wrapText="1"/>
    </xf>
    <xf numFmtId="0" fontId="67" fillId="0" borderId="41" xfId="0" applyFont="1" applyBorder="1" applyAlignment="1">
      <alignment horizontal="center" vertical="center"/>
    </xf>
    <xf numFmtId="185" fontId="67" fillId="0" borderId="41" xfId="1" applyNumberFormat="1" applyFont="1" applyBorder="1" applyAlignment="1">
      <alignment vertical="center"/>
    </xf>
    <xf numFmtId="9" fontId="67" fillId="0" borderId="41" xfId="2842" applyFont="1" applyBorder="1" applyAlignment="1">
      <alignment vertical="center"/>
    </xf>
    <xf numFmtId="10" fontId="67" fillId="0" borderId="41" xfId="2842" applyNumberFormat="1" applyFont="1" applyBorder="1" applyAlignment="1">
      <alignment horizontal="center" vertical="center"/>
    </xf>
    <xf numFmtId="9" fontId="67" fillId="0" borderId="41" xfId="2842" applyFont="1" applyBorder="1" applyAlignment="1">
      <alignment horizontal="center" vertical="center"/>
    </xf>
    <xf numFmtId="190" fontId="75" fillId="0" borderId="42" xfId="1" applyNumberFormat="1" applyFont="1" applyBorder="1" applyAlignment="1">
      <alignment horizontal="center" vertical="center"/>
    </xf>
    <xf numFmtId="185" fontId="75" fillId="0" borderId="42" xfId="1" applyNumberFormat="1" applyFont="1" applyBorder="1" applyAlignment="1">
      <alignment horizontal="center" vertical="center"/>
    </xf>
    <xf numFmtId="49" fontId="75" fillId="0" borderId="43" xfId="1" applyNumberFormat="1" applyFont="1" applyBorder="1" applyAlignment="1">
      <alignment horizontal="center" vertical="center"/>
    </xf>
    <xf numFmtId="49" fontId="75" fillId="0" borderId="39" xfId="1" applyNumberFormat="1" applyFont="1" applyBorder="1" applyAlignment="1">
      <alignment horizontal="center" vertical="center"/>
    </xf>
    <xf numFmtId="190" fontId="75" fillId="0" borderId="42" xfId="1" applyNumberFormat="1" applyFont="1" applyBorder="1" applyAlignment="1">
      <alignment vertical="center"/>
    </xf>
    <xf numFmtId="1" fontId="75" fillId="0" borderId="0" xfId="1" applyNumberFormat="1" applyFont="1" applyAlignment="1">
      <alignment horizontal="right" vertical="center"/>
    </xf>
    <xf numFmtId="49" fontId="75" fillId="0" borderId="0" xfId="0" applyNumberFormat="1" applyFont="1" applyAlignment="1">
      <alignment vertical="center" wrapText="1"/>
    </xf>
    <xf numFmtId="49" fontId="75" fillId="0" borderId="0" xfId="0" applyNumberFormat="1" applyFont="1" applyAlignment="1">
      <alignment vertical="center"/>
    </xf>
    <xf numFmtId="0" fontId="75" fillId="0" borderId="0" xfId="0" applyFont="1"/>
    <xf numFmtId="1" fontId="75" fillId="0" borderId="42" xfId="1" applyNumberFormat="1" applyFont="1" applyBorder="1" applyAlignment="1">
      <alignment horizontal="right" vertical="center"/>
    </xf>
    <xf numFmtId="188" fontId="75" fillId="0" borderId="42" xfId="1" applyNumberFormat="1" applyFont="1" applyBorder="1" applyAlignment="1">
      <alignment horizontal="center" vertical="center"/>
    </xf>
    <xf numFmtId="49" fontId="75" fillId="0" borderId="42" xfId="0" applyNumberFormat="1" applyFont="1" applyBorder="1" applyAlignment="1">
      <alignment vertical="center" wrapText="1"/>
    </xf>
    <xf numFmtId="49" fontId="75" fillId="0" borderId="0" xfId="1" applyNumberFormat="1" applyFont="1" applyAlignment="1">
      <alignment vertical="center"/>
    </xf>
    <xf numFmtId="185" fontId="75" fillId="0" borderId="0" xfId="1" applyNumberFormat="1" applyFont="1" applyAlignment="1">
      <alignment vertical="center"/>
    </xf>
    <xf numFmtId="200" fontId="75" fillId="0" borderId="0" xfId="1" quotePrefix="1" applyNumberFormat="1" applyFont="1" applyAlignment="1">
      <alignment horizontal="center" vertical="center" wrapText="1"/>
    </xf>
    <xf numFmtId="199" fontId="75" fillId="0" borderId="42" xfId="1" applyNumberFormat="1" applyFont="1" applyBorder="1" applyAlignment="1">
      <alignment horizontal="center" vertical="center"/>
    </xf>
    <xf numFmtId="0" fontId="67" fillId="0" borderId="0" xfId="0" applyFont="1" applyAlignment="1">
      <alignment horizontal="right" vertical="top"/>
    </xf>
    <xf numFmtId="49" fontId="78" fillId="71" borderId="0" xfId="1" applyNumberFormat="1" applyFont="1" applyFill="1" applyAlignment="1">
      <alignment horizontal="left" vertical="top" wrapText="1"/>
    </xf>
    <xf numFmtId="166" fontId="67" fillId="0" borderId="0" xfId="1" applyFont="1" applyAlignment="1">
      <alignment vertical="top"/>
    </xf>
    <xf numFmtId="14" fontId="75" fillId="0" borderId="0" xfId="0" applyNumberFormat="1" applyFont="1" applyAlignment="1">
      <alignment horizontal="center" vertical="center"/>
    </xf>
    <xf numFmtId="14" fontId="75" fillId="0" borderId="42" xfId="0" applyNumberFormat="1" applyFont="1" applyBorder="1" applyAlignment="1">
      <alignment horizontal="center" vertical="center"/>
    </xf>
    <xf numFmtId="1" fontId="67" fillId="0" borderId="0" xfId="1" applyNumberFormat="1" applyFont="1" applyAlignment="1">
      <alignment vertical="center"/>
    </xf>
    <xf numFmtId="1" fontId="75" fillId="0" borderId="0" xfId="1" applyNumberFormat="1" applyFont="1" applyAlignment="1">
      <alignment vertical="center"/>
    </xf>
    <xf numFmtId="1" fontId="67" fillId="0" borderId="0" xfId="1" applyNumberFormat="1" applyFont="1" applyAlignment="1">
      <alignment horizontal="right" vertical="top"/>
    </xf>
    <xf numFmtId="166" fontId="67" fillId="0" borderId="0" xfId="1" applyFont="1" applyAlignment="1">
      <alignment horizontal="center" vertical="center"/>
    </xf>
    <xf numFmtId="9" fontId="67" fillId="0" borderId="0" xfId="2842" applyFont="1" applyAlignment="1">
      <alignment vertical="top"/>
    </xf>
    <xf numFmtId="0" fontId="67" fillId="0" borderId="0" xfId="0" applyFont="1" applyAlignment="1">
      <alignment horizontal="center" vertical="center"/>
    </xf>
    <xf numFmtId="188" fontId="67" fillId="0" borderId="0" xfId="1" applyNumberFormat="1" applyFont="1" applyAlignment="1">
      <alignment horizontal="right" vertical="center"/>
    </xf>
    <xf numFmtId="188" fontId="67" fillId="0" borderId="0" xfId="1" applyNumberFormat="1" applyFont="1" applyAlignment="1">
      <alignment horizontal="center" vertical="center"/>
    </xf>
    <xf numFmtId="9" fontId="75" fillId="0" borderId="0" xfId="2842" applyFont="1" applyAlignment="1" applyProtection="1">
      <alignment horizontal="center" vertical="center"/>
      <protection locked="0"/>
    </xf>
    <xf numFmtId="49" fontId="67" fillId="0" borderId="0" xfId="1" applyNumberFormat="1" applyFont="1" applyAlignment="1">
      <alignment horizontal="center" vertical="center"/>
    </xf>
    <xf numFmtId="1" fontId="67" fillId="0" borderId="0" xfId="0" applyNumberFormat="1" applyFont="1" applyAlignment="1">
      <alignment horizontal="right" vertical="center"/>
    </xf>
    <xf numFmtId="1" fontId="75" fillId="0" borderId="0" xfId="0" applyNumberFormat="1" applyFont="1" applyAlignment="1">
      <alignment horizontal="right" vertical="center"/>
    </xf>
    <xf numFmtId="1" fontId="67" fillId="0" borderId="0" xfId="1" applyNumberFormat="1" applyFont="1" applyAlignment="1">
      <alignment horizontal="center" vertical="center"/>
    </xf>
    <xf numFmtId="1" fontId="72" fillId="0" borderId="0" xfId="0" applyNumberFormat="1" applyFont="1" applyAlignment="1">
      <alignment vertical="center"/>
    </xf>
    <xf numFmtId="0" fontId="18" fillId="0" borderId="0" xfId="0" applyFont="1" applyAlignment="1">
      <alignment horizontal="right" vertical="center"/>
    </xf>
    <xf numFmtId="0" fontId="15" fillId="0" borderId="0" xfId="0" applyFont="1" applyAlignment="1">
      <alignment horizontal="right" vertical="center"/>
    </xf>
    <xf numFmtId="166" fontId="18" fillId="0" borderId="0" xfId="1" applyFont="1" applyAlignment="1">
      <alignment horizontal="center" vertical="center"/>
    </xf>
    <xf numFmtId="166" fontId="18" fillId="71" borderId="0" xfId="1" applyFont="1" applyFill="1" applyAlignment="1">
      <alignment horizontal="right" vertical="top"/>
    </xf>
    <xf numFmtId="0" fontId="74" fillId="0" borderId="0" xfId="0" applyFont="1" applyAlignment="1">
      <alignment horizontal="right" vertical="center"/>
    </xf>
    <xf numFmtId="0" fontId="75" fillId="0" borderId="46" xfId="0" applyFont="1" applyBorder="1" applyAlignment="1">
      <alignment horizontal="center" vertical="center"/>
    </xf>
    <xf numFmtId="49" fontId="75" fillId="0" borderId="48" xfId="1" applyNumberFormat="1" applyFont="1" applyBorder="1" applyAlignment="1">
      <alignment horizontal="center" vertical="center"/>
    </xf>
    <xf numFmtId="49" fontId="67" fillId="0" borderId="51" xfId="1" applyNumberFormat="1" applyFont="1" applyBorder="1" applyAlignment="1">
      <alignment horizontal="center" vertical="center"/>
    </xf>
    <xf numFmtId="199" fontId="75" fillId="0" borderId="42" xfId="1" applyNumberFormat="1" applyFont="1" applyBorder="1" applyAlignment="1">
      <alignment vertical="center"/>
    </xf>
    <xf numFmtId="49" fontId="75" fillId="0" borderId="49" xfId="1" applyNumberFormat="1" applyFont="1" applyBorder="1" applyAlignment="1">
      <alignment horizontal="center" vertical="center"/>
    </xf>
    <xf numFmtId="195" fontId="75" fillId="0" borderId="0" xfId="1" applyNumberFormat="1" applyFont="1" applyAlignment="1">
      <alignment horizontal="center" vertical="center"/>
    </xf>
    <xf numFmtId="1" fontId="75" fillId="0" borderId="0" xfId="0" applyNumberFormat="1" applyFont="1" applyAlignment="1">
      <alignment horizontal="center" vertical="center"/>
    </xf>
    <xf numFmtId="49" fontId="75" fillId="0" borderId="52" xfId="1" applyNumberFormat="1" applyFont="1" applyBorder="1" applyAlignment="1">
      <alignment horizontal="center" vertical="center"/>
    </xf>
    <xf numFmtId="49" fontId="75" fillId="0" borderId="45" xfId="1" applyNumberFormat="1" applyFont="1" applyBorder="1" applyAlignment="1">
      <alignment horizontal="center" vertical="center"/>
    </xf>
    <xf numFmtId="191" fontId="75" fillId="0" borderId="0" xfId="2842" applyNumberFormat="1" applyFont="1" applyAlignment="1">
      <alignment horizontal="center" vertical="center"/>
    </xf>
    <xf numFmtId="10" fontId="75" fillId="0" borderId="0" xfId="2842" applyNumberFormat="1" applyFont="1" applyAlignment="1">
      <alignment horizontal="center" vertical="center"/>
    </xf>
    <xf numFmtId="9" fontId="75" fillId="0" borderId="0" xfId="2842" applyFont="1" applyAlignment="1">
      <alignment horizontal="center" vertical="center" wrapText="1"/>
    </xf>
    <xf numFmtId="1" fontId="67" fillId="0" borderId="0" xfId="0" applyNumberFormat="1" applyFont="1" applyAlignment="1">
      <alignment vertical="center"/>
    </xf>
    <xf numFmtId="1" fontId="75" fillId="0" borderId="0" xfId="0" applyNumberFormat="1" applyFont="1" applyAlignment="1">
      <alignment vertical="center"/>
    </xf>
    <xf numFmtId="1" fontId="67" fillId="0" borderId="0" xfId="1" applyNumberFormat="1" applyFont="1" applyAlignment="1">
      <alignment vertical="top"/>
    </xf>
    <xf numFmtId="1" fontId="72" fillId="0" borderId="0" xfId="1" applyNumberFormat="1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195" fontId="15" fillId="0" borderId="0" xfId="1" applyNumberFormat="1" applyFont="1" applyAlignment="1">
      <alignment horizontal="center" vertical="center"/>
    </xf>
    <xf numFmtId="195" fontId="74" fillId="0" borderId="0" xfId="1" applyNumberFormat="1" applyFont="1" applyAlignment="1">
      <alignment horizontal="right" vertical="center"/>
    </xf>
    <xf numFmtId="9" fontId="68" fillId="0" borderId="41" xfId="2842" applyFont="1" applyBorder="1"/>
    <xf numFmtId="201" fontId="68" fillId="0" borderId="41" xfId="1" applyNumberFormat="1" applyFont="1" applyBorder="1"/>
    <xf numFmtId="0" fontId="2" fillId="0" borderId="40" xfId="0" applyFont="1" applyBorder="1" applyAlignment="1">
      <alignment horizontal="center" vertical="center" wrapText="1"/>
    </xf>
    <xf numFmtId="0" fontId="2" fillId="0" borderId="37" xfId="0" applyFont="1" applyBorder="1" applyAlignment="1">
      <alignment horizontal="center" vertical="center"/>
    </xf>
    <xf numFmtId="166" fontId="2" fillId="0" borderId="37" xfId="1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1" fontId="67" fillId="0" borderId="0" xfId="0" applyNumberFormat="1" applyFont="1" applyAlignment="1">
      <alignment horizontal="center" vertical="center"/>
    </xf>
    <xf numFmtId="185" fontId="67" fillId="0" borderId="0" xfId="1" applyNumberFormat="1" applyFont="1" applyAlignment="1">
      <alignment horizontal="center" vertical="center"/>
    </xf>
    <xf numFmtId="0" fontId="76" fillId="0" borderId="0" xfId="0" applyFont="1" applyAlignment="1">
      <alignment horizontal="center" vertical="center"/>
    </xf>
    <xf numFmtId="9" fontId="77" fillId="0" borderId="0" xfId="2842" applyFont="1" applyAlignment="1">
      <alignment horizontal="center" vertical="center"/>
    </xf>
    <xf numFmtId="0" fontId="77" fillId="0" borderId="0" xfId="0" applyFont="1" applyAlignment="1">
      <alignment horizontal="center" vertical="center"/>
    </xf>
    <xf numFmtId="189" fontId="75" fillId="0" borderId="0" xfId="1" applyNumberFormat="1" applyFont="1" applyAlignment="1">
      <alignment horizontal="center" vertical="center"/>
    </xf>
    <xf numFmtId="190" fontId="75" fillId="0" borderId="0" xfId="1" applyNumberFormat="1" applyFont="1" applyAlignment="1">
      <alignment horizontal="center" vertical="center"/>
    </xf>
    <xf numFmtId="9" fontId="67" fillId="0" borderId="0" xfId="2842" applyFont="1" applyAlignment="1">
      <alignment vertical="center"/>
    </xf>
    <xf numFmtId="194" fontId="67" fillId="0" borderId="0" xfId="1" applyNumberFormat="1" applyFont="1" applyAlignment="1">
      <alignment horizontal="center" vertical="center"/>
    </xf>
    <xf numFmtId="9" fontId="67" fillId="0" borderId="0" xfId="2842" applyFont="1" applyAlignment="1">
      <alignment horizontal="center" vertical="center"/>
    </xf>
    <xf numFmtId="10" fontId="67" fillId="0" borderId="0" xfId="2842" applyNumberFormat="1" applyFont="1" applyAlignment="1">
      <alignment vertical="center"/>
    </xf>
    <xf numFmtId="0" fontId="67" fillId="0" borderId="0" xfId="0" applyFont="1" applyAlignment="1">
      <alignment horizontal="left" vertical="center"/>
    </xf>
    <xf numFmtId="185" fontId="68" fillId="0" borderId="0" xfId="1" applyNumberFormat="1" applyFont="1" applyAlignment="1">
      <alignment vertical="center"/>
    </xf>
    <xf numFmtId="198" fontId="68" fillId="0" borderId="41" xfId="2842" applyNumberFormat="1" applyFont="1" applyBorder="1"/>
    <xf numFmtId="0" fontId="68" fillId="0" borderId="0" xfId="0" applyFont="1" applyAlignment="1">
      <alignment horizontal="right" vertical="center"/>
    </xf>
    <xf numFmtId="185" fontId="18" fillId="71" borderId="0" xfId="1" applyNumberFormat="1" applyFont="1" applyFill="1" applyAlignment="1">
      <alignment horizontal="right" vertical="top"/>
    </xf>
    <xf numFmtId="199" fontId="75" fillId="0" borderId="42" xfId="1" quotePrefix="1" applyNumberFormat="1" applyFont="1" applyBorder="1" applyAlignment="1">
      <alignment horizontal="center" vertical="center"/>
    </xf>
    <xf numFmtId="195" fontId="18" fillId="71" borderId="0" xfId="1" applyNumberFormat="1" applyFont="1" applyFill="1" applyAlignment="1">
      <alignment vertical="top"/>
    </xf>
    <xf numFmtId="186" fontId="2" fillId="0" borderId="53" xfId="0" applyNumberFormat="1" applyFont="1" applyBorder="1" applyAlignment="1">
      <alignment horizontal="center" vertical="center"/>
    </xf>
    <xf numFmtId="14" fontId="2" fillId="0" borderId="54" xfId="1" applyNumberFormat="1" applyFont="1" applyBorder="1" applyAlignment="1">
      <alignment horizontal="center" vertical="center"/>
    </xf>
    <xf numFmtId="185" fontId="2" fillId="0" borderId="54" xfId="1" applyNumberFormat="1" applyFont="1" applyBorder="1" applyAlignment="1">
      <alignment horizontal="center" vertical="center"/>
    </xf>
    <xf numFmtId="187" fontId="2" fillId="0" borderId="54" xfId="1" applyNumberFormat="1" applyFont="1" applyBorder="1" applyAlignment="1">
      <alignment horizontal="center" vertical="center"/>
    </xf>
    <xf numFmtId="188" fontId="2" fillId="0" borderId="54" xfId="1" applyNumberFormat="1" applyFont="1" applyBorder="1" applyAlignment="1">
      <alignment horizontal="center" vertical="center"/>
    </xf>
    <xf numFmtId="0" fontId="2" fillId="0" borderId="53" xfId="0" applyFont="1" applyBorder="1" applyAlignment="1">
      <alignment horizontal="left" vertical="center"/>
    </xf>
    <xf numFmtId="166" fontId="75" fillId="74" borderId="57" xfId="1" applyFont="1" applyFill="1" applyBorder="1" applyAlignment="1">
      <alignment horizontal="center" vertical="top"/>
    </xf>
    <xf numFmtId="192" fontId="75" fillId="74" borderId="57" xfId="1" applyNumberFormat="1" applyFont="1" applyFill="1" applyBorder="1" applyAlignment="1">
      <alignment horizontal="right" vertical="top"/>
    </xf>
    <xf numFmtId="9" fontId="75" fillId="74" borderId="57" xfId="2842" applyFont="1" applyFill="1" applyBorder="1" applyAlignment="1">
      <alignment horizontal="right" vertical="top"/>
    </xf>
    <xf numFmtId="9" fontId="75" fillId="74" borderId="57" xfId="2842" applyFont="1" applyFill="1" applyBorder="1" applyAlignment="1">
      <alignment horizontal="center" vertical="top"/>
    </xf>
    <xf numFmtId="185" fontId="75" fillId="74" borderId="57" xfId="1" applyNumberFormat="1" applyFont="1" applyFill="1" applyBorder="1" applyAlignment="1">
      <alignment horizontal="right" vertical="top"/>
    </xf>
    <xf numFmtId="188" fontId="75" fillId="74" borderId="57" xfId="1" applyNumberFormat="1" applyFont="1" applyFill="1" applyBorder="1" applyAlignment="1">
      <alignment horizontal="left" vertical="top" wrapText="1"/>
    </xf>
    <xf numFmtId="193" fontId="75" fillId="74" borderId="48" xfId="1" applyNumberFormat="1" applyFont="1" applyFill="1" applyBorder="1" applyAlignment="1">
      <alignment horizontal="left" vertical="top" wrapText="1"/>
    </xf>
    <xf numFmtId="49" fontId="75" fillId="74" borderId="48" xfId="1" applyNumberFormat="1" applyFont="1" applyFill="1" applyBorder="1" applyAlignment="1">
      <alignment horizontal="left" vertical="top" wrapText="1"/>
    </xf>
    <xf numFmtId="192" fontId="75" fillId="74" borderId="58" xfId="1" applyNumberFormat="1" applyFont="1" applyFill="1" applyBorder="1" applyAlignment="1">
      <alignment horizontal="right" vertical="top"/>
    </xf>
    <xf numFmtId="166" fontId="67" fillId="75" borderId="0" xfId="1" applyFont="1" applyFill="1" applyAlignment="1">
      <alignment horizontal="center" vertical="top"/>
    </xf>
    <xf numFmtId="192" fontId="67" fillId="75" borderId="0" xfId="1" applyNumberFormat="1" applyFont="1" applyFill="1" applyAlignment="1">
      <alignment horizontal="right" vertical="top"/>
    </xf>
    <xf numFmtId="9" fontId="67" fillId="75" borderId="0" xfId="2842" applyFont="1" applyFill="1" applyAlignment="1">
      <alignment horizontal="right" vertical="top"/>
    </xf>
    <xf numFmtId="196" fontId="67" fillId="75" borderId="0" xfId="1" applyNumberFormat="1" applyFont="1" applyFill="1" applyAlignment="1">
      <alignment horizontal="right" vertical="top"/>
    </xf>
    <xf numFmtId="193" fontId="67" fillId="75" borderId="46" xfId="1" applyNumberFormat="1" applyFont="1" applyFill="1" applyBorder="1" applyAlignment="1">
      <alignment horizontal="left" vertical="top" wrapText="1"/>
    </xf>
    <xf numFmtId="166" fontId="67" fillId="71" borderId="0" xfId="1" applyFont="1" applyFill="1" applyAlignment="1">
      <alignment horizontal="center" vertical="top"/>
    </xf>
    <xf numFmtId="192" fontId="67" fillId="71" borderId="0" xfId="1" applyNumberFormat="1" applyFont="1" applyFill="1" applyAlignment="1">
      <alignment horizontal="right" vertical="top"/>
    </xf>
    <xf numFmtId="9" fontId="67" fillId="71" borderId="0" xfId="2842" applyFont="1" applyFill="1" applyAlignment="1">
      <alignment horizontal="right" vertical="top"/>
    </xf>
    <xf numFmtId="192" fontId="67" fillId="71" borderId="46" xfId="1" applyNumberFormat="1" applyFont="1" applyFill="1" applyBorder="1" applyAlignment="1">
      <alignment horizontal="right" vertical="top"/>
    </xf>
    <xf numFmtId="49" fontId="78" fillId="71" borderId="49" xfId="1" applyNumberFormat="1" applyFont="1" applyFill="1" applyBorder="1" applyAlignment="1">
      <alignment horizontal="left" vertical="top" wrapText="1"/>
    </xf>
    <xf numFmtId="192" fontId="67" fillId="75" borderId="46" xfId="1" applyNumberFormat="1" applyFont="1" applyFill="1" applyBorder="1" applyAlignment="1">
      <alignment horizontal="right" vertical="top"/>
    </xf>
    <xf numFmtId="196" fontId="67" fillId="71" borderId="0" xfId="1" applyNumberFormat="1" applyFont="1" applyFill="1" applyAlignment="1">
      <alignment horizontal="right" vertical="top"/>
    </xf>
    <xf numFmtId="196" fontId="67" fillId="71" borderId="46" xfId="1" applyNumberFormat="1" applyFont="1" applyFill="1" applyBorder="1" applyAlignment="1">
      <alignment horizontal="right" vertical="top"/>
    </xf>
    <xf numFmtId="196" fontId="67" fillId="75" borderId="46" xfId="1" applyNumberFormat="1" applyFont="1" applyFill="1" applyBorder="1" applyAlignment="1">
      <alignment horizontal="right" vertical="top"/>
    </xf>
    <xf numFmtId="193" fontId="67" fillId="71" borderId="46" xfId="1" applyNumberFormat="1" applyFont="1" applyFill="1" applyBorder="1" applyAlignment="1">
      <alignment horizontal="left" vertical="top" wrapText="1"/>
    </xf>
    <xf numFmtId="192" fontId="67" fillId="71" borderId="61" xfId="1" applyNumberFormat="1" applyFont="1" applyFill="1" applyBorder="1" applyAlignment="1">
      <alignment horizontal="right" vertical="top"/>
    </xf>
    <xf numFmtId="192" fontId="67" fillId="75" borderId="61" xfId="1" applyNumberFormat="1" applyFont="1" applyFill="1" applyBorder="1" applyAlignment="1">
      <alignment horizontal="right" vertical="top"/>
    </xf>
    <xf numFmtId="196" fontId="67" fillId="71" borderId="61" xfId="1" applyNumberFormat="1" applyFont="1" applyFill="1" applyBorder="1" applyAlignment="1">
      <alignment horizontal="right" vertical="top"/>
    </xf>
    <xf numFmtId="196" fontId="67" fillId="75" borderId="61" xfId="1" applyNumberFormat="1" applyFont="1" applyFill="1" applyBorder="1" applyAlignment="1">
      <alignment horizontal="right" vertical="top"/>
    </xf>
    <xf numFmtId="166" fontId="75" fillId="74" borderId="57" xfId="1" applyFont="1" applyFill="1" applyBorder="1" applyAlignment="1">
      <alignment horizontal="center" vertical="top" wrapText="1"/>
    </xf>
    <xf numFmtId="166" fontId="67" fillId="71" borderId="46" xfId="1" applyFont="1" applyFill="1" applyBorder="1" applyAlignment="1">
      <alignment horizontal="center" vertical="top" wrapText="1"/>
    </xf>
    <xf numFmtId="166" fontId="67" fillId="75" borderId="46" xfId="1" applyFont="1" applyFill="1" applyBorder="1" applyAlignment="1">
      <alignment horizontal="center" vertical="top" wrapText="1"/>
    </xf>
    <xf numFmtId="1" fontId="67" fillId="0" borderId="0" xfId="0" applyNumberFormat="1" applyFont="1" applyAlignment="1">
      <alignment horizontal="right" vertical="top"/>
    </xf>
    <xf numFmtId="166" fontId="67" fillId="71" borderId="0" xfId="1" applyFont="1" applyFill="1" applyAlignment="1">
      <alignment horizontal="right" vertical="top"/>
    </xf>
    <xf numFmtId="0" fontId="18" fillId="71" borderId="0" xfId="0" applyFont="1" applyFill="1" applyAlignment="1">
      <alignment horizontal="right" vertical="top"/>
    </xf>
    <xf numFmtId="49" fontId="75" fillId="74" borderId="48" xfId="0" applyNumberFormat="1" applyFont="1" applyFill="1" applyBorder="1" applyAlignment="1">
      <alignment horizontal="left" vertical="top" wrapText="1"/>
    </xf>
    <xf numFmtId="0" fontId="75" fillId="74" borderId="57" xfId="0" applyFont="1" applyFill="1" applyBorder="1" applyAlignment="1">
      <alignment horizontal="center" vertical="top" wrapText="1"/>
    </xf>
    <xf numFmtId="192" fontId="75" fillId="74" borderId="57" xfId="0" applyNumberFormat="1" applyFont="1" applyFill="1" applyBorder="1" applyAlignment="1">
      <alignment horizontal="right" vertical="top"/>
    </xf>
    <xf numFmtId="192" fontId="75" fillId="74" borderId="58" xfId="1" applyNumberFormat="1" applyFont="1" applyFill="1" applyBorder="1" applyAlignment="1">
      <alignment horizontal="center" vertical="top"/>
    </xf>
    <xf numFmtId="166" fontId="75" fillId="74" borderId="57" xfId="1" applyFont="1" applyFill="1" applyBorder="1" applyAlignment="1">
      <alignment horizontal="right" vertical="top"/>
    </xf>
    <xf numFmtId="166" fontId="67" fillId="71" borderId="0" xfId="1" applyFont="1" applyFill="1" applyAlignment="1">
      <alignment horizontal="left" vertical="top" wrapText="1"/>
    </xf>
    <xf numFmtId="166" fontId="67" fillId="71" borderId="46" xfId="1" applyFont="1" applyFill="1" applyBorder="1" applyAlignment="1">
      <alignment horizontal="left" vertical="top" wrapText="1"/>
    </xf>
    <xf numFmtId="166" fontId="67" fillId="71" borderId="47" xfId="1" applyFont="1" applyFill="1" applyBorder="1" applyAlignment="1">
      <alignment horizontal="center" vertical="top"/>
    </xf>
    <xf numFmtId="166" fontId="67" fillId="75" borderId="0" xfId="1" applyFont="1" applyFill="1" applyAlignment="1">
      <alignment horizontal="left" vertical="top" wrapText="1"/>
    </xf>
    <xf numFmtId="166" fontId="67" fillId="75" borderId="46" xfId="1" applyFont="1" applyFill="1" applyBorder="1" applyAlignment="1">
      <alignment horizontal="left" vertical="top" wrapText="1"/>
    </xf>
    <xf numFmtId="166" fontId="67" fillId="75" borderId="47" xfId="1" applyFont="1" applyFill="1" applyBorder="1" applyAlignment="1">
      <alignment horizontal="center" vertical="top"/>
    </xf>
    <xf numFmtId="166" fontId="67" fillId="75" borderId="0" xfId="1" applyFont="1" applyFill="1" applyAlignment="1">
      <alignment horizontal="right" vertical="top"/>
    </xf>
    <xf numFmtId="166" fontId="75" fillId="74" borderId="57" xfId="1" applyFont="1" applyFill="1" applyBorder="1" applyAlignment="1">
      <alignment horizontal="left" vertical="top" wrapText="1"/>
    </xf>
    <xf numFmtId="166" fontId="75" fillId="74" borderId="48" xfId="1" applyFont="1" applyFill="1" applyBorder="1" applyAlignment="1">
      <alignment horizontal="left" vertical="top" wrapText="1"/>
    </xf>
    <xf numFmtId="166" fontId="75" fillId="74" borderId="58" xfId="1" applyFont="1" applyFill="1" applyBorder="1" applyAlignment="1">
      <alignment horizontal="center" vertical="top"/>
    </xf>
    <xf numFmtId="49" fontId="67" fillId="75" borderId="46" xfId="0" applyNumberFormat="1" applyFont="1" applyFill="1" applyBorder="1" applyAlignment="1">
      <alignment horizontal="left" vertical="top" wrapText="1"/>
    </xf>
    <xf numFmtId="0" fontId="67" fillId="75" borderId="46" xfId="0" applyFont="1" applyFill="1" applyBorder="1" applyAlignment="1">
      <alignment horizontal="center" vertical="top" wrapText="1"/>
    </xf>
    <xf numFmtId="49" fontId="78" fillId="71" borderId="49" xfId="0" applyNumberFormat="1" applyFont="1" applyFill="1" applyBorder="1" applyAlignment="1">
      <alignment horizontal="left" vertical="top" wrapText="1"/>
    </xf>
    <xf numFmtId="49" fontId="67" fillId="71" borderId="46" xfId="0" applyNumberFormat="1" applyFont="1" applyFill="1" applyBorder="1" applyAlignment="1">
      <alignment horizontal="left" vertical="top" wrapText="1"/>
    </xf>
    <xf numFmtId="0" fontId="67" fillId="71" borderId="46" xfId="0" applyFont="1" applyFill="1" applyBorder="1" applyAlignment="1">
      <alignment horizontal="center" vertical="top" wrapText="1"/>
    </xf>
    <xf numFmtId="196" fontId="78" fillId="71" borderId="49" xfId="0" applyNumberFormat="1" applyFont="1" applyFill="1" applyBorder="1" applyAlignment="1">
      <alignment horizontal="left" vertical="top" wrapText="1"/>
    </xf>
    <xf numFmtId="166" fontId="75" fillId="71" borderId="0" xfId="1" applyFont="1" applyFill="1" applyAlignment="1">
      <alignment horizontal="center" vertical="top"/>
    </xf>
    <xf numFmtId="192" fontId="75" fillId="71" borderId="0" xfId="1" applyNumberFormat="1" applyFont="1" applyFill="1" applyAlignment="1">
      <alignment horizontal="right" vertical="top"/>
    </xf>
    <xf numFmtId="9" fontId="75" fillId="71" borderId="0" xfId="2842" applyFont="1" applyFill="1" applyAlignment="1">
      <alignment horizontal="right" vertical="top"/>
    </xf>
    <xf numFmtId="166" fontId="75" fillId="71" borderId="0" xfId="1" applyFont="1" applyFill="1" applyAlignment="1">
      <alignment horizontal="right" vertical="top"/>
    </xf>
    <xf numFmtId="166" fontId="75" fillId="75" borderId="0" xfId="1" applyFont="1" applyFill="1" applyAlignment="1">
      <alignment horizontal="center" vertical="top"/>
    </xf>
    <xf numFmtId="192" fontId="75" fillId="75" borderId="0" xfId="1" applyNumberFormat="1" applyFont="1" applyFill="1" applyAlignment="1">
      <alignment horizontal="right" vertical="top"/>
    </xf>
    <xf numFmtId="9" fontId="75" fillId="75" borderId="0" xfId="2842" applyFont="1" applyFill="1" applyAlignment="1">
      <alignment horizontal="right" vertical="top"/>
    </xf>
    <xf numFmtId="166" fontId="75" fillId="75" borderId="0" xfId="1" applyFont="1" applyFill="1" applyAlignment="1">
      <alignment horizontal="right" vertical="top"/>
    </xf>
    <xf numFmtId="193" fontId="75" fillId="71" borderId="46" xfId="1" applyNumberFormat="1" applyFont="1" applyFill="1" applyBorder="1" applyAlignment="1">
      <alignment horizontal="left" vertical="top" wrapText="1"/>
    </xf>
    <xf numFmtId="166" fontId="75" fillId="71" borderId="0" xfId="1" applyFont="1" applyFill="1" applyAlignment="1">
      <alignment horizontal="left" vertical="top" wrapText="1"/>
    </xf>
    <xf numFmtId="166" fontId="75" fillId="71" borderId="46" xfId="1" applyFont="1" applyFill="1" applyBorder="1" applyAlignment="1">
      <alignment horizontal="left" vertical="top" wrapText="1"/>
    </xf>
    <xf numFmtId="166" fontId="75" fillId="71" borderId="47" xfId="1" applyFont="1" applyFill="1" applyBorder="1" applyAlignment="1">
      <alignment horizontal="center" vertical="top"/>
    </xf>
    <xf numFmtId="193" fontId="75" fillId="75" borderId="46" xfId="1" applyNumberFormat="1" applyFont="1" applyFill="1" applyBorder="1" applyAlignment="1">
      <alignment horizontal="left" vertical="top" wrapText="1"/>
    </xf>
    <xf numFmtId="166" fontId="75" fillId="75" borderId="0" xfId="1" applyFont="1" applyFill="1" applyAlignment="1">
      <alignment horizontal="left" vertical="top" wrapText="1"/>
    </xf>
    <xf numFmtId="166" fontId="75" fillId="75" borderId="46" xfId="1" applyFont="1" applyFill="1" applyBorder="1" applyAlignment="1">
      <alignment horizontal="left" vertical="top" wrapText="1"/>
    </xf>
    <xf numFmtId="166" fontId="75" fillId="75" borderId="47" xfId="1" applyFont="1" applyFill="1" applyBorder="1" applyAlignment="1">
      <alignment horizontal="center" vertical="top"/>
    </xf>
    <xf numFmtId="166" fontId="75" fillId="71" borderId="46" xfId="1" applyFont="1" applyFill="1" applyBorder="1" applyAlignment="1">
      <alignment horizontal="center" vertical="top" wrapText="1"/>
    </xf>
    <xf numFmtId="192" fontId="75" fillId="71" borderId="46" xfId="1" applyNumberFormat="1" applyFont="1" applyFill="1" applyBorder="1" applyAlignment="1">
      <alignment horizontal="right" vertical="top"/>
    </xf>
    <xf numFmtId="192" fontId="75" fillId="71" borderId="61" xfId="1" applyNumberFormat="1" applyFont="1" applyFill="1" applyBorder="1" applyAlignment="1">
      <alignment horizontal="right" vertical="top"/>
    </xf>
    <xf numFmtId="166" fontId="75" fillId="75" borderId="46" xfId="1" applyFont="1" applyFill="1" applyBorder="1" applyAlignment="1">
      <alignment horizontal="center" vertical="top" wrapText="1"/>
    </xf>
    <xf numFmtId="192" fontId="75" fillId="75" borderId="46" xfId="1" applyNumberFormat="1" applyFont="1" applyFill="1" applyBorder="1" applyAlignment="1">
      <alignment horizontal="right" vertical="top"/>
    </xf>
    <xf numFmtId="192" fontId="75" fillId="75" borderId="61" xfId="1" applyNumberFormat="1" applyFont="1" applyFill="1" applyBorder="1" applyAlignment="1">
      <alignment horizontal="right" vertical="top"/>
    </xf>
    <xf numFmtId="196" fontId="75" fillId="71" borderId="46" xfId="1" applyNumberFormat="1" applyFont="1" applyFill="1" applyBorder="1" applyAlignment="1">
      <alignment horizontal="right" vertical="top"/>
    </xf>
    <xf numFmtId="196" fontId="75" fillId="71" borderId="0" xfId="1" applyNumberFormat="1" applyFont="1" applyFill="1" applyAlignment="1">
      <alignment horizontal="right" vertical="top"/>
    </xf>
    <xf numFmtId="196" fontId="75" fillId="71" borderId="61" xfId="1" applyNumberFormat="1" applyFont="1" applyFill="1" applyBorder="1" applyAlignment="1">
      <alignment horizontal="right" vertical="top"/>
    </xf>
    <xf numFmtId="0" fontId="18" fillId="0" borderId="0" xfId="0" applyFont="1" applyAlignment="1">
      <alignment vertical="center"/>
    </xf>
    <xf numFmtId="185" fontId="15" fillId="0" borderId="0" xfId="1" applyNumberFormat="1" applyFont="1" applyAlignment="1">
      <alignment horizontal="center" vertical="center"/>
    </xf>
    <xf numFmtId="9" fontId="75" fillId="71" borderId="0" xfId="2842" applyFont="1" applyFill="1" applyAlignment="1">
      <alignment horizontal="center" vertical="top"/>
    </xf>
    <xf numFmtId="185" fontId="75" fillId="71" borderId="0" xfId="1" applyNumberFormat="1" applyFont="1" applyFill="1" applyAlignment="1">
      <alignment horizontal="right" vertical="top"/>
    </xf>
    <xf numFmtId="188" fontId="75" fillId="71" borderId="0" xfId="1" applyNumberFormat="1" applyFont="1" applyFill="1" applyAlignment="1">
      <alignment horizontal="left" vertical="top" wrapText="1"/>
    </xf>
    <xf numFmtId="49" fontId="75" fillId="71" borderId="46" xfId="1" applyNumberFormat="1" applyFont="1" applyFill="1" applyBorder="1" applyAlignment="1">
      <alignment horizontal="left" vertical="top" wrapText="1"/>
    </xf>
    <xf numFmtId="195" fontId="67" fillId="71" borderId="0" xfId="1" applyNumberFormat="1" applyFont="1" applyFill="1" applyAlignment="1">
      <alignment vertical="top"/>
    </xf>
    <xf numFmtId="192" fontId="75" fillId="74" borderId="57" xfId="1" applyNumberFormat="1" applyFont="1" applyFill="1" applyBorder="1" applyAlignment="1">
      <alignment vertical="top"/>
    </xf>
    <xf numFmtId="9" fontId="75" fillId="74" borderId="57" xfId="2842" applyFont="1" applyFill="1" applyBorder="1" applyAlignment="1">
      <alignment vertical="top"/>
    </xf>
    <xf numFmtId="192" fontId="75" fillId="74" borderId="57" xfId="1" applyNumberFormat="1" applyFont="1" applyFill="1" applyBorder="1" applyAlignment="1">
      <alignment horizontal="center" vertical="top"/>
    </xf>
    <xf numFmtId="192" fontId="75" fillId="74" borderId="57" xfId="2842" applyNumberFormat="1" applyFont="1" applyFill="1" applyBorder="1" applyAlignment="1">
      <alignment vertical="top"/>
    </xf>
    <xf numFmtId="10" fontId="75" fillId="74" borderId="57" xfId="2842" applyNumberFormat="1" applyFont="1" applyFill="1" applyBorder="1" applyAlignment="1">
      <alignment horizontal="center" vertical="top"/>
    </xf>
    <xf numFmtId="192" fontId="75" fillId="74" borderId="57" xfId="2842" applyNumberFormat="1" applyFont="1" applyFill="1" applyBorder="1" applyAlignment="1">
      <alignment horizontal="center" vertical="top"/>
    </xf>
    <xf numFmtId="192" fontId="75" fillId="74" borderId="57" xfId="0" applyNumberFormat="1" applyFont="1" applyFill="1" applyBorder="1" applyAlignment="1">
      <alignment vertical="top"/>
    </xf>
    <xf numFmtId="192" fontId="75" fillId="74" borderId="58" xfId="1" applyNumberFormat="1" applyFont="1" applyFill="1" applyBorder="1" applyAlignment="1">
      <alignment vertical="top"/>
    </xf>
    <xf numFmtId="166" fontId="75" fillId="74" borderId="57" xfId="1" applyFont="1" applyFill="1" applyBorder="1" applyAlignment="1">
      <alignment vertical="top"/>
    </xf>
    <xf numFmtId="195" fontId="75" fillId="74" borderId="57" xfId="1" applyNumberFormat="1" applyFont="1" applyFill="1" applyBorder="1" applyAlignment="1">
      <alignment vertical="top"/>
    </xf>
    <xf numFmtId="192" fontId="67" fillId="71" borderId="0" xfId="1" applyNumberFormat="1" applyFont="1" applyFill="1" applyAlignment="1">
      <alignment vertical="top"/>
    </xf>
    <xf numFmtId="9" fontId="67" fillId="71" borderId="0" xfId="2842" applyFont="1" applyFill="1" applyAlignment="1">
      <alignment vertical="top"/>
    </xf>
    <xf numFmtId="192" fontId="67" fillId="71" borderId="0" xfId="1" applyNumberFormat="1" applyFont="1" applyFill="1" applyAlignment="1">
      <alignment horizontal="center" vertical="top"/>
    </xf>
    <xf numFmtId="192" fontId="67" fillId="71" borderId="0" xfId="2842" applyNumberFormat="1" applyFont="1" applyFill="1" applyAlignment="1">
      <alignment vertical="top"/>
    </xf>
    <xf numFmtId="10" fontId="67" fillId="71" borderId="0" xfId="2842" applyNumberFormat="1" applyFont="1" applyFill="1" applyAlignment="1">
      <alignment horizontal="center" vertical="top"/>
    </xf>
    <xf numFmtId="192" fontId="67" fillId="71" borderId="0" xfId="0" applyNumberFormat="1" applyFont="1" applyFill="1" applyAlignment="1">
      <alignment vertical="top"/>
    </xf>
    <xf numFmtId="166" fontId="67" fillId="71" borderId="0" xfId="1" applyFont="1" applyFill="1" applyAlignment="1">
      <alignment vertical="top"/>
    </xf>
    <xf numFmtId="192" fontId="67" fillId="71" borderId="46" xfId="1" applyNumberFormat="1" applyFont="1" applyFill="1" applyBorder="1" applyAlignment="1">
      <alignment vertical="top"/>
    </xf>
    <xf numFmtId="192" fontId="67" fillId="71" borderId="46" xfId="2842" applyNumberFormat="1" applyFont="1" applyFill="1" applyBorder="1" applyAlignment="1">
      <alignment horizontal="center" vertical="top"/>
    </xf>
    <xf numFmtId="192" fontId="67" fillId="75" borderId="0" xfId="1" applyNumberFormat="1" applyFont="1" applyFill="1" applyAlignment="1">
      <alignment vertical="top"/>
    </xf>
    <xf numFmtId="9" fontId="67" fillId="75" borderId="0" xfId="2842" applyFont="1" applyFill="1" applyAlignment="1">
      <alignment vertical="top"/>
    </xf>
    <xf numFmtId="192" fontId="67" fillId="75" borderId="0" xfId="1" applyNumberFormat="1" applyFont="1" applyFill="1" applyAlignment="1">
      <alignment horizontal="center" vertical="top"/>
    </xf>
    <xf numFmtId="192" fontId="67" fillId="75" borderId="0" xfId="2842" applyNumberFormat="1" applyFont="1" applyFill="1" applyAlignment="1">
      <alignment vertical="top"/>
    </xf>
    <xf numFmtId="10" fontId="67" fillId="75" borderId="0" xfId="2842" applyNumberFormat="1" applyFont="1" applyFill="1" applyAlignment="1">
      <alignment horizontal="center" vertical="top"/>
    </xf>
    <xf numFmtId="192" fontId="67" fillId="75" borderId="0" xfId="0" applyNumberFormat="1" applyFont="1" applyFill="1" applyAlignment="1">
      <alignment vertical="top"/>
    </xf>
    <xf numFmtId="166" fontId="67" fillId="75" borderId="0" xfId="1" applyFont="1" applyFill="1" applyAlignment="1">
      <alignment vertical="top"/>
    </xf>
    <xf numFmtId="195" fontId="67" fillId="75" borderId="0" xfId="1" applyNumberFormat="1" applyFont="1" applyFill="1" applyAlignment="1">
      <alignment vertical="top"/>
    </xf>
    <xf numFmtId="192" fontId="67" fillId="75" borderId="46" xfId="1" applyNumberFormat="1" applyFont="1" applyFill="1" applyBorder="1" applyAlignment="1">
      <alignment vertical="top"/>
    </xf>
    <xf numFmtId="192" fontId="67" fillId="75" borderId="46" xfId="2842" applyNumberFormat="1" applyFont="1" applyFill="1" applyBorder="1" applyAlignment="1">
      <alignment horizontal="center" vertical="top"/>
    </xf>
    <xf numFmtId="197" fontId="67" fillId="75" borderId="46" xfId="1" applyNumberFormat="1" applyFont="1" applyFill="1" applyBorder="1" applyAlignment="1">
      <alignment vertical="top"/>
    </xf>
    <xf numFmtId="197" fontId="67" fillId="75" borderId="0" xfId="1" applyNumberFormat="1" applyFont="1" applyFill="1" applyAlignment="1">
      <alignment vertical="top"/>
    </xf>
    <xf numFmtId="197" fontId="67" fillId="75" borderId="46" xfId="2842" applyNumberFormat="1" applyFont="1" applyFill="1" applyBorder="1" applyAlignment="1">
      <alignment horizontal="center" vertical="top"/>
    </xf>
    <xf numFmtId="197" fontId="67" fillId="75" borderId="0" xfId="0" applyNumberFormat="1" applyFont="1" applyFill="1" applyAlignment="1">
      <alignment vertical="top"/>
    </xf>
    <xf numFmtId="197" fontId="67" fillId="75" borderId="0" xfId="2842" applyNumberFormat="1" applyFont="1" applyFill="1" applyAlignment="1">
      <alignment vertical="top"/>
    </xf>
    <xf numFmtId="197" fontId="67" fillId="75" borderId="0" xfId="1" applyNumberFormat="1" applyFont="1" applyFill="1" applyAlignment="1">
      <alignment horizontal="center" vertical="top"/>
    </xf>
    <xf numFmtId="197" fontId="67" fillId="71" borderId="46" xfId="1" applyNumberFormat="1" applyFont="1" applyFill="1" applyBorder="1" applyAlignment="1">
      <alignment vertical="top"/>
    </xf>
    <xf numFmtId="197" fontId="67" fillId="71" borderId="0" xfId="1" applyNumberFormat="1" applyFont="1" applyFill="1" applyAlignment="1">
      <alignment vertical="top"/>
    </xf>
    <xf numFmtId="197" fontId="67" fillId="71" borderId="46" xfId="2842" applyNumberFormat="1" applyFont="1" applyFill="1" applyBorder="1" applyAlignment="1">
      <alignment horizontal="center" vertical="top"/>
    </xf>
    <xf numFmtId="197" fontId="67" fillId="71" borderId="0" xfId="0" applyNumberFormat="1" applyFont="1" applyFill="1" applyAlignment="1">
      <alignment vertical="top"/>
    </xf>
    <xf numFmtId="197" fontId="67" fillId="71" borderId="0" xfId="2842" applyNumberFormat="1" applyFont="1" applyFill="1" applyAlignment="1">
      <alignment vertical="top"/>
    </xf>
    <xf numFmtId="197" fontId="67" fillId="71" borderId="0" xfId="1" applyNumberFormat="1" applyFont="1" applyFill="1" applyAlignment="1">
      <alignment horizontal="center" vertical="top"/>
    </xf>
    <xf numFmtId="196" fontId="67" fillId="71" borderId="46" xfId="1" applyNumberFormat="1" applyFont="1" applyFill="1" applyBorder="1" applyAlignment="1">
      <alignment vertical="top"/>
    </xf>
    <xf numFmtId="196" fontId="67" fillId="71" borderId="0" xfId="1" applyNumberFormat="1" applyFont="1" applyFill="1" applyAlignment="1">
      <alignment vertical="top"/>
    </xf>
    <xf numFmtId="196" fontId="67" fillId="71" borderId="46" xfId="2842" applyNumberFormat="1" applyFont="1" applyFill="1" applyBorder="1" applyAlignment="1">
      <alignment horizontal="center" vertical="top"/>
    </xf>
    <xf numFmtId="196" fontId="67" fillId="71" borderId="0" xfId="0" applyNumberFormat="1" applyFont="1" applyFill="1" applyAlignment="1">
      <alignment vertical="top"/>
    </xf>
    <xf numFmtId="196" fontId="67" fillId="71" borderId="0" xfId="2842" applyNumberFormat="1" applyFont="1" applyFill="1" applyAlignment="1">
      <alignment vertical="top"/>
    </xf>
    <xf numFmtId="196" fontId="67" fillId="71" borderId="0" xfId="1" applyNumberFormat="1" applyFont="1" applyFill="1" applyAlignment="1">
      <alignment horizontal="center" vertical="top"/>
    </xf>
    <xf numFmtId="196" fontId="67" fillId="75" borderId="46" xfId="1" applyNumberFormat="1" applyFont="1" applyFill="1" applyBorder="1" applyAlignment="1">
      <alignment vertical="top"/>
    </xf>
    <xf numFmtId="196" fontId="67" fillId="75" borderId="0" xfId="1" applyNumberFormat="1" applyFont="1" applyFill="1" applyAlignment="1">
      <alignment vertical="top"/>
    </xf>
    <xf numFmtId="196" fontId="67" fillId="75" borderId="46" xfId="2842" applyNumberFormat="1" applyFont="1" applyFill="1" applyBorder="1" applyAlignment="1">
      <alignment horizontal="center" vertical="top"/>
    </xf>
    <xf numFmtId="196" fontId="67" fillId="75" borderId="0" xfId="0" applyNumberFormat="1" applyFont="1" applyFill="1" applyAlignment="1">
      <alignment vertical="top"/>
    </xf>
    <xf numFmtId="196" fontId="67" fillId="75" borderId="0" xfId="2842" applyNumberFormat="1" applyFont="1" applyFill="1" applyAlignment="1">
      <alignment vertical="top"/>
    </xf>
    <xf numFmtId="196" fontId="67" fillId="75" borderId="0" xfId="1" applyNumberFormat="1" applyFont="1" applyFill="1" applyAlignment="1">
      <alignment horizontal="center" vertical="top"/>
    </xf>
    <xf numFmtId="49" fontId="75" fillId="71" borderId="46" xfId="0" applyNumberFormat="1" applyFont="1" applyFill="1" applyBorder="1" applyAlignment="1">
      <alignment horizontal="left" vertical="top" wrapText="1"/>
    </xf>
    <xf numFmtId="0" fontId="75" fillId="71" borderId="46" xfId="0" applyFont="1" applyFill="1" applyBorder="1" applyAlignment="1">
      <alignment horizontal="center" vertical="top" wrapText="1"/>
    </xf>
    <xf numFmtId="0" fontId="75" fillId="75" borderId="46" xfId="0" applyFont="1" applyFill="1" applyBorder="1" applyAlignment="1">
      <alignment horizontal="center" vertical="top" wrapText="1"/>
    </xf>
    <xf numFmtId="9" fontId="75" fillId="75" borderId="0" xfId="2842" applyFont="1" applyFill="1" applyAlignment="1">
      <alignment horizontal="center" vertical="top"/>
    </xf>
    <xf numFmtId="185" fontId="75" fillId="75" borderId="0" xfId="1" applyNumberFormat="1" applyFont="1" applyFill="1" applyAlignment="1">
      <alignment horizontal="right" vertical="top"/>
    </xf>
    <xf numFmtId="188" fontId="75" fillId="75" borderId="0" xfId="1" applyNumberFormat="1" applyFont="1" applyFill="1" applyAlignment="1">
      <alignment horizontal="left" vertical="top" wrapText="1"/>
    </xf>
    <xf numFmtId="49" fontId="75" fillId="75" borderId="46" xfId="1" applyNumberFormat="1" applyFont="1" applyFill="1" applyBorder="1" applyAlignment="1">
      <alignment horizontal="left" vertical="top" wrapText="1"/>
    </xf>
    <xf numFmtId="192" fontId="75" fillId="71" borderId="0" xfId="1" applyNumberFormat="1" applyFont="1" applyFill="1" applyAlignment="1">
      <alignment vertical="top"/>
    </xf>
    <xf numFmtId="9" fontId="75" fillId="71" borderId="0" xfId="2842" applyFont="1" applyFill="1" applyAlignment="1">
      <alignment vertical="top"/>
    </xf>
    <xf numFmtId="192" fontId="75" fillId="71" borderId="0" xfId="1" applyNumberFormat="1" applyFont="1" applyFill="1" applyAlignment="1">
      <alignment horizontal="center" vertical="top"/>
    </xf>
    <xf numFmtId="192" fontId="75" fillId="71" borderId="0" xfId="2842" applyNumberFormat="1" applyFont="1" applyFill="1" applyAlignment="1">
      <alignment vertical="top"/>
    </xf>
    <xf numFmtId="10" fontId="75" fillId="71" borderId="0" xfId="2842" applyNumberFormat="1" applyFont="1" applyFill="1" applyAlignment="1">
      <alignment horizontal="center" vertical="top"/>
    </xf>
    <xf numFmtId="192" fontId="75" fillId="71" borderId="0" xfId="0" applyNumberFormat="1" applyFont="1" applyFill="1" applyAlignment="1">
      <alignment vertical="top"/>
    </xf>
    <xf numFmtId="166" fontId="75" fillId="71" borderId="0" xfId="1" applyFont="1" applyFill="1" applyAlignment="1">
      <alignment vertical="top"/>
    </xf>
    <xf numFmtId="195" fontId="75" fillId="71" borderId="0" xfId="1" applyNumberFormat="1" applyFont="1" applyFill="1" applyAlignment="1">
      <alignment vertical="top"/>
    </xf>
    <xf numFmtId="192" fontId="75" fillId="75" borderId="0" xfId="1" applyNumberFormat="1" applyFont="1" applyFill="1" applyAlignment="1">
      <alignment vertical="top"/>
    </xf>
    <xf numFmtId="9" fontId="75" fillId="75" borderId="0" xfId="2842" applyFont="1" applyFill="1" applyAlignment="1">
      <alignment vertical="top"/>
    </xf>
    <xf numFmtId="192" fontId="75" fillId="75" borderId="0" xfId="1" applyNumberFormat="1" applyFont="1" applyFill="1" applyAlignment="1">
      <alignment horizontal="center" vertical="top"/>
    </xf>
    <xf numFmtId="192" fontId="75" fillId="75" borderId="0" xfId="2842" applyNumberFormat="1" applyFont="1" applyFill="1" applyAlignment="1">
      <alignment vertical="top"/>
    </xf>
    <xf numFmtId="10" fontId="75" fillId="75" borderId="0" xfId="2842" applyNumberFormat="1" applyFont="1" applyFill="1" applyAlignment="1">
      <alignment horizontal="center" vertical="top"/>
    </xf>
    <xf numFmtId="192" fontId="75" fillId="75" borderId="0" xfId="0" applyNumberFormat="1" applyFont="1" applyFill="1" applyAlignment="1">
      <alignment vertical="top"/>
    </xf>
    <xf numFmtId="166" fontId="75" fillId="75" borderId="0" xfId="1" applyFont="1" applyFill="1" applyAlignment="1">
      <alignment vertical="top"/>
    </xf>
    <xf numFmtId="195" fontId="75" fillId="75" borderId="0" xfId="1" applyNumberFormat="1" applyFont="1" applyFill="1" applyAlignment="1">
      <alignment vertical="top"/>
    </xf>
    <xf numFmtId="192" fontId="75" fillId="71" borderId="46" xfId="1" applyNumberFormat="1" applyFont="1" applyFill="1" applyBorder="1" applyAlignment="1">
      <alignment vertical="top"/>
    </xf>
    <xf numFmtId="192" fontId="75" fillId="71" borderId="46" xfId="2842" applyNumberFormat="1" applyFont="1" applyFill="1" applyBorder="1" applyAlignment="1">
      <alignment horizontal="center" vertical="top"/>
    </xf>
    <xf numFmtId="49" fontId="75" fillId="75" borderId="46" xfId="0" applyNumberFormat="1" applyFont="1" applyFill="1" applyBorder="1" applyAlignment="1">
      <alignment horizontal="left" vertical="top" wrapText="1"/>
    </xf>
    <xf numFmtId="192" fontId="75" fillId="75" borderId="46" xfId="1" applyNumberFormat="1" applyFont="1" applyFill="1" applyBorder="1" applyAlignment="1">
      <alignment vertical="top"/>
    </xf>
    <xf numFmtId="192" fontId="75" fillId="75" borderId="46" xfId="2842" applyNumberFormat="1" applyFont="1" applyFill="1" applyBorder="1" applyAlignment="1">
      <alignment horizontal="center" vertical="top"/>
    </xf>
    <xf numFmtId="9" fontId="75" fillId="0" borderId="0" xfId="2842" applyFont="1" applyAlignment="1">
      <alignment vertical="top"/>
    </xf>
    <xf numFmtId="192" fontId="75" fillId="0" borderId="0" xfId="1" applyNumberFormat="1" applyFont="1" applyAlignment="1">
      <alignment horizontal="center" vertical="top"/>
    </xf>
    <xf numFmtId="10" fontId="75" fillId="0" borderId="0" xfId="2842" applyNumberFormat="1" applyFont="1" applyAlignment="1">
      <alignment horizontal="center" vertical="top"/>
    </xf>
    <xf numFmtId="166" fontId="75" fillId="0" borderId="0" xfId="1" applyFont="1" applyAlignment="1">
      <alignment horizontal="center" vertical="top"/>
    </xf>
    <xf numFmtId="192" fontId="75" fillId="0" borderId="0" xfId="1" applyNumberFormat="1" applyFont="1" applyAlignment="1">
      <alignment vertical="top"/>
    </xf>
    <xf numFmtId="166" fontId="75" fillId="0" borderId="0" xfId="1" applyFont="1" applyAlignment="1">
      <alignment vertical="top"/>
    </xf>
    <xf numFmtId="195" fontId="75" fillId="0" borderId="0" xfId="1" applyNumberFormat="1" applyFont="1" applyAlignment="1">
      <alignment vertical="top"/>
    </xf>
    <xf numFmtId="193" fontId="75" fillId="0" borderId="46" xfId="1" applyNumberFormat="1" applyFont="1" applyBorder="1" applyAlignment="1">
      <alignment horizontal="left" vertical="top" wrapText="1"/>
    </xf>
    <xf numFmtId="49" fontId="75" fillId="0" borderId="46" xfId="0" applyNumberFormat="1" applyFont="1" applyBorder="1" applyAlignment="1">
      <alignment horizontal="left" vertical="top" wrapText="1"/>
    </xf>
    <xf numFmtId="166" fontId="75" fillId="0" borderId="47" xfId="1" applyFont="1" applyBorder="1" applyAlignment="1">
      <alignment horizontal="center" vertical="top"/>
    </xf>
    <xf numFmtId="202" fontId="67" fillId="71" borderId="46" xfId="1" applyNumberFormat="1" applyFont="1" applyFill="1" applyBorder="1" applyAlignment="1">
      <alignment vertical="top"/>
    </xf>
    <xf numFmtId="202" fontId="67" fillId="71" borderId="0" xfId="1" applyNumberFormat="1" applyFont="1" applyFill="1" applyAlignment="1">
      <alignment vertical="top"/>
    </xf>
    <xf numFmtId="202" fontId="67" fillId="71" borderId="46" xfId="2842" applyNumberFormat="1" applyFont="1" applyFill="1" applyBorder="1" applyAlignment="1">
      <alignment horizontal="center" vertical="top"/>
    </xf>
    <xf numFmtId="202" fontId="67" fillId="71" borderId="0" xfId="0" applyNumberFormat="1" applyFont="1" applyFill="1" applyAlignment="1">
      <alignment vertical="top"/>
    </xf>
    <xf numFmtId="202" fontId="67" fillId="71" borderId="0" xfId="2842" applyNumberFormat="1" applyFont="1" applyFill="1" applyAlignment="1">
      <alignment vertical="top"/>
    </xf>
    <xf numFmtId="202" fontId="67" fillId="71" borderId="0" xfId="1" applyNumberFormat="1" applyFont="1" applyFill="1" applyAlignment="1">
      <alignment horizontal="center" vertical="top"/>
    </xf>
    <xf numFmtId="193" fontId="67" fillId="71" borderId="59" xfId="1" applyNumberFormat="1" applyFont="1" applyFill="1" applyBorder="1" applyAlignment="1">
      <alignment horizontal="left" vertical="top" wrapText="1"/>
    </xf>
    <xf numFmtId="49" fontId="67" fillId="71" borderId="59" xfId="0" applyNumberFormat="1" applyFont="1" applyFill="1" applyBorder="1" applyAlignment="1">
      <alignment horizontal="left" vertical="top" wrapText="1"/>
    </xf>
    <xf numFmtId="9" fontId="67" fillId="71" borderId="51" xfId="2842" applyFont="1" applyFill="1" applyBorder="1" applyAlignment="1">
      <alignment vertical="top"/>
    </xf>
    <xf numFmtId="192" fontId="67" fillId="71" borderId="51" xfId="1" applyNumberFormat="1" applyFont="1" applyFill="1" applyBorder="1" applyAlignment="1">
      <alignment horizontal="center" vertical="top"/>
    </xf>
    <xf numFmtId="10" fontId="67" fillId="71" borderId="51" xfId="2842" applyNumberFormat="1" applyFont="1" applyFill="1" applyBorder="1" applyAlignment="1">
      <alignment horizontal="center" vertical="top"/>
    </xf>
    <xf numFmtId="166" fontId="67" fillId="71" borderId="51" xfId="1" applyFont="1" applyFill="1" applyBorder="1" applyAlignment="1">
      <alignment horizontal="center" vertical="top"/>
    </xf>
    <xf numFmtId="166" fontId="67" fillId="71" borderId="51" xfId="1" applyFont="1" applyFill="1" applyBorder="1" applyAlignment="1">
      <alignment vertical="top"/>
    </xf>
    <xf numFmtId="166" fontId="67" fillId="71" borderId="60" xfId="1" applyFont="1" applyFill="1" applyBorder="1" applyAlignment="1">
      <alignment horizontal="center" vertical="top"/>
    </xf>
    <xf numFmtId="192" fontId="67" fillId="71" borderId="51" xfId="1" applyNumberFormat="1" applyFont="1" applyFill="1" applyBorder="1" applyAlignment="1">
      <alignment vertical="top"/>
    </xf>
    <xf numFmtId="195" fontId="67" fillId="71" borderId="51" xfId="1" applyNumberFormat="1" applyFont="1" applyFill="1" applyBorder="1" applyAlignment="1">
      <alignment vertical="top"/>
    </xf>
    <xf numFmtId="0" fontId="67" fillId="71" borderId="59" xfId="0" applyFont="1" applyFill="1" applyBorder="1" applyAlignment="1">
      <alignment horizontal="center" vertical="top" wrapText="1"/>
    </xf>
    <xf numFmtId="192" fontId="67" fillId="71" borderId="59" xfId="1" applyNumberFormat="1" applyFont="1" applyFill="1" applyBorder="1" applyAlignment="1">
      <alignment vertical="top"/>
    </xf>
    <xf numFmtId="192" fontId="67" fillId="71" borderId="59" xfId="2842" applyNumberFormat="1" applyFont="1" applyFill="1" applyBorder="1" applyAlignment="1">
      <alignment horizontal="center" vertical="top"/>
    </xf>
    <xf numFmtId="192" fontId="67" fillId="71" borderId="51" xfId="0" applyNumberFormat="1" applyFont="1" applyFill="1" applyBorder="1" applyAlignment="1">
      <alignment vertical="top"/>
    </xf>
    <xf numFmtId="192" fontId="67" fillId="71" borderId="51" xfId="2842" applyNumberFormat="1" applyFont="1" applyFill="1" applyBorder="1" applyAlignment="1">
      <alignment vertical="top"/>
    </xf>
    <xf numFmtId="193" fontId="67" fillId="75" borderId="59" xfId="1" applyNumberFormat="1" applyFont="1" applyFill="1" applyBorder="1" applyAlignment="1">
      <alignment horizontal="left" vertical="top" wrapText="1"/>
    </xf>
    <xf numFmtId="49" fontId="67" fillId="75" borderId="59" xfId="0" applyNumberFormat="1" applyFont="1" applyFill="1" applyBorder="1" applyAlignment="1">
      <alignment horizontal="left" vertical="top" wrapText="1"/>
    </xf>
    <xf numFmtId="192" fontId="67" fillId="75" borderId="51" xfId="1" applyNumberFormat="1" applyFont="1" applyFill="1" applyBorder="1" applyAlignment="1">
      <alignment vertical="top"/>
    </xf>
    <xf numFmtId="9" fontId="67" fillId="75" borderId="51" xfId="2842" applyFont="1" applyFill="1" applyBorder="1" applyAlignment="1">
      <alignment vertical="top"/>
    </xf>
    <xf numFmtId="192" fontId="67" fillId="75" borderId="51" xfId="1" applyNumberFormat="1" applyFont="1" applyFill="1" applyBorder="1" applyAlignment="1">
      <alignment horizontal="center" vertical="top"/>
    </xf>
    <xf numFmtId="192" fontId="67" fillId="75" borderId="51" xfId="2842" applyNumberFormat="1" applyFont="1" applyFill="1" applyBorder="1" applyAlignment="1">
      <alignment vertical="top"/>
    </xf>
    <xf numFmtId="10" fontId="67" fillId="75" borderId="51" xfId="2842" applyNumberFormat="1" applyFont="1" applyFill="1" applyBorder="1" applyAlignment="1">
      <alignment horizontal="center" vertical="top"/>
    </xf>
    <xf numFmtId="192" fontId="67" fillId="75" borderId="51" xfId="0" applyNumberFormat="1" applyFont="1" applyFill="1" applyBorder="1" applyAlignment="1">
      <alignment vertical="top"/>
    </xf>
    <xf numFmtId="166" fontId="67" fillId="75" borderId="51" xfId="1" applyFont="1" applyFill="1" applyBorder="1" applyAlignment="1">
      <alignment horizontal="center" vertical="top"/>
    </xf>
    <xf numFmtId="166" fontId="67" fillId="75" borderId="51" xfId="1" applyFont="1" applyFill="1" applyBorder="1" applyAlignment="1">
      <alignment vertical="top"/>
    </xf>
    <xf numFmtId="166" fontId="67" fillId="75" borderId="60" xfId="1" applyFont="1" applyFill="1" applyBorder="1" applyAlignment="1">
      <alignment horizontal="center" vertical="top"/>
    </xf>
    <xf numFmtId="195" fontId="67" fillId="75" borderId="51" xfId="1" applyNumberFormat="1" applyFont="1" applyFill="1" applyBorder="1" applyAlignment="1">
      <alignment vertical="top"/>
    </xf>
    <xf numFmtId="0" fontId="67" fillId="75" borderId="59" xfId="0" applyFont="1" applyFill="1" applyBorder="1" applyAlignment="1">
      <alignment horizontal="center" vertical="top" wrapText="1"/>
    </xf>
    <xf numFmtId="192" fontId="67" fillId="75" borderId="59" xfId="1" applyNumberFormat="1" applyFont="1" applyFill="1" applyBorder="1" applyAlignment="1">
      <alignment vertical="top"/>
    </xf>
    <xf numFmtId="192" fontId="67" fillId="75" borderId="59" xfId="2842" applyNumberFormat="1" applyFont="1" applyFill="1" applyBorder="1" applyAlignment="1">
      <alignment horizontal="center" vertical="top"/>
    </xf>
    <xf numFmtId="196" fontId="75" fillId="74" borderId="57" xfId="1" applyNumberFormat="1" applyFont="1" applyFill="1" applyBorder="1" applyAlignment="1">
      <alignment vertical="top"/>
    </xf>
    <xf numFmtId="196" fontId="75" fillId="74" borderId="57" xfId="2842" applyNumberFormat="1" applyFont="1" applyFill="1" applyBorder="1" applyAlignment="1">
      <alignment vertical="top"/>
    </xf>
    <xf numFmtId="196" fontId="75" fillId="74" borderId="57" xfId="2842" applyNumberFormat="1" applyFont="1" applyFill="1" applyBorder="1" applyAlignment="1">
      <alignment horizontal="center" vertical="top"/>
    </xf>
    <xf numFmtId="196" fontId="75" fillId="74" borderId="57" xfId="0" applyNumberFormat="1" applyFont="1" applyFill="1" applyBorder="1" applyAlignment="1">
      <alignment vertical="top"/>
    </xf>
    <xf numFmtId="196" fontId="75" fillId="74" borderId="57" xfId="1" applyNumberFormat="1" applyFont="1" applyFill="1" applyBorder="1" applyAlignment="1">
      <alignment horizontal="center" vertical="top"/>
    </xf>
    <xf numFmtId="197" fontId="75" fillId="71" borderId="46" xfId="1" applyNumberFormat="1" applyFont="1" applyFill="1" applyBorder="1" applyAlignment="1">
      <alignment vertical="top"/>
    </xf>
    <xf numFmtId="197" fontId="75" fillId="71" borderId="0" xfId="1" applyNumberFormat="1" applyFont="1" applyFill="1" applyAlignment="1">
      <alignment vertical="top"/>
    </xf>
    <xf numFmtId="197" fontId="75" fillId="71" borderId="46" xfId="2842" applyNumberFormat="1" applyFont="1" applyFill="1" applyBorder="1" applyAlignment="1">
      <alignment horizontal="center" vertical="top"/>
    </xf>
    <xf numFmtId="197" fontId="75" fillId="71" borderId="0" xfId="0" applyNumberFormat="1" applyFont="1" applyFill="1" applyAlignment="1">
      <alignment vertical="top"/>
    </xf>
    <xf numFmtId="197" fontId="75" fillId="71" borderId="0" xfId="2842" applyNumberFormat="1" applyFont="1" applyFill="1" applyAlignment="1">
      <alignment vertical="top"/>
    </xf>
    <xf numFmtId="197" fontId="75" fillId="71" borderId="0" xfId="1" applyNumberFormat="1" applyFont="1" applyFill="1" applyAlignment="1">
      <alignment horizontal="center" vertical="top"/>
    </xf>
    <xf numFmtId="193" fontId="75" fillId="75" borderId="59" xfId="1" applyNumberFormat="1" applyFont="1" applyFill="1" applyBorder="1" applyAlignment="1">
      <alignment horizontal="left" vertical="top" wrapText="1"/>
    </xf>
    <xf numFmtId="49" fontId="75" fillId="75" borderId="59" xfId="0" applyNumberFormat="1" applyFont="1" applyFill="1" applyBorder="1" applyAlignment="1">
      <alignment horizontal="left" vertical="top" wrapText="1"/>
    </xf>
    <xf numFmtId="9" fontId="75" fillId="75" borderId="51" xfId="2842" applyFont="1" applyFill="1" applyBorder="1" applyAlignment="1">
      <alignment vertical="top"/>
    </xf>
    <xf numFmtId="192" fontId="75" fillId="75" borderId="51" xfId="1" applyNumberFormat="1" applyFont="1" applyFill="1" applyBorder="1" applyAlignment="1">
      <alignment horizontal="center" vertical="top"/>
    </xf>
    <xf numFmtId="10" fontId="75" fillId="75" borderId="51" xfId="2842" applyNumberFormat="1" applyFont="1" applyFill="1" applyBorder="1" applyAlignment="1">
      <alignment horizontal="center" vertical="top"/>
    </xf>
    <xf numFmtId="166" fontId="75" fillId="75" borderId="51" xfId="1" applyFont="1" applyFill="1" applyBorder="1" applyAlignment="1">
      <alignment horizontal="center" vertical="top"/>
    </xf>
    <xf numFmtId="166" fontId="75" fillId="75" borderId="51" xfId="1" applyFont="1" applyFill="1" applyBorder="1" applyAlignment="1">
      <alignment vertical="top"/>
    </xf>
    <xf numFmtId="166" fontId="75" fillId="75" borderId="60" xfId="1" applyFont="1" applyFill="1" applyBorder="1" applyAlignment="1">
      <alignment horizontal="center" vertical="top"/>
    </xf>
    <xf numFmtId="192" fontId="75" fillId="75" borderId="51" xfId="1" applyNumberFormat="1" applyFont="1" applyFill="1" applyBorder="1" applyAlignment="1">
      <alignment vertical="top"/>
    </xf>
    <xf numFmtId="195" fontId="75" fillId="75" borderId="51" xfId="1" applyNumberFormat="1" applyFont="1" applyFill="1" applyBorder="1" applyAlignment="1">
      <alignment vertical="top"/>
    </xf>
    <xf numFmtId="0" fontId="75" fillId="75" borderId="59" xfId="0" applyFont="1" applyFill="1" applyBorder="1" applyAlignment="1">
      <alignment horizontal="center" vertical="top" wrapText="1"/>
    </xf>
    <xf numFmtId="192" fontId="75" fillId="75" borderId="59" xfId="1" applyNumberFormat="1" applyFont="1" applyFill="1" applyBorder="1" applyAlignment="1">
      <alignment vertical="top"/>
    </xf>
    <xf numFmtId="192" fontId="75" fillId="75" borderId="59" xfId="2842" applyNumberFormat="1" applyFont="1" applyFill="1" applyBorder="1" applyAlignment="1">
      <alignment horizontal="center" vertical="top"/>
    </xf>
    <xf numFmtId="192" fontId="75" fillId="75" borderId="51" xfId="0" applyNumberFormat="1" applyFont="1" applyFill="1" applyBorder="1" applyAlignment="1">
      <alignment vertical="top"/>
    </xf>
    <xf numFmtId="192" fontId="75" fillId="75" borderId="51" xfId="2842" applyNumberFormat="1" applyFont="1" applyFill="1" applyBorder="1" applyAlignment="1">
      <alignment vertical="top"/>
    </xf>
    <xf numFmtId="202" fontId="67" fillId="75" borderId="46" xfId="1" applyNumberFormat="1" applyFont="1" applyFill="1" applyBorder="1" applyAlignment="1">
      <alignment vertical="top"/>
    </xf>
    <xf numFmtId="202" fontId="67" fillId="75" borderId="0" xfId="1" applyNumberFormat="1" applyFont="1" applyFill="1" applyAlignment="1">
      <alignment vertical="top"/>
    </xf>
    <xf numFmtId="202" fontId="67" fillId="75" borderId="46" xfId="2842" applyNumberFormat="1" applyFont="1" applyFill="1" applyBorder="1" applyAlignment="1">
      <alignment horizontal="center" vertical="top"/>
    </xf>
    <xf numFmtId="202" fontId="67" fillId="75" borderId="0" xfId="0" applyNumberFormat="1" applyFont="1" applyFill="1" applyAlignment="1">
      <alignment vertical="top"/>
    </xf>
    <xf numFmtId="202" fontId="67" fillId="75" borderId="0" xfId="2842" applyNumberFormat="1" applyFont="1" applyFill="1" applyAlignment="1">
      <alignment vertical="top"/>
    </xf>
    <xf numFmtId="202" fontId="67" fillId="75" borderId="0" xfId="1" applyNumberFormat="1" applyFont="1" applyFill="1" applyAlignment="1">
      <alignment horizontal="center" vertical="top"/>
    </xf>
    <xf numFmtId="202" fontId="75" fillId="75" borderId="46" xfId="1" applyNumberFormat="1" applyFont="1" applyFill="1" applyBorder="1" applyAlignment="1">
      <alignment vertical="top"/>
    </xf>
    <xf numFmtId="202" fontId="75" fillId="75" borderId="0" xfId="1" applyNumberFormat="1" applyFont="1" applyFill="1" applyAlignment="1">
      <alignment vertical="top"/>
    </xf>
    <xf numFmtId="202" fontId="75" fillId="75" borderId="46" xfId="2842" applyNumberFormat="1" applyFont="1" applyFill="1" applyBorder="1" applyAlignment="1">
      <alignment horizontal="center" vertical="top"/>
    </xf>
    <xf numFmtId="202" fontId="75" fillId="75" borderId="0" xfId="0" applyNumberFormat="1" applyFont="1" applyFill="1" applyAlignment="1">
      <alignment vertical="top"/>
    </xf>
    <xf numFmtId="202" fontId="75" fillId="75" borderId="0" xfId="2842" applyNumberFormat="1" applyFont="1" applyFill="1" applyAlignment="1">
      <alignment vertical="top"/>
    </xf>
    <xf numFmtId="202" fontId="75" fillId="75" borderId="0" xfId="1" applyNumberFormat="1" applyFont="1" applyFill="1" applyAlignment="1">
      <alignment horizontal="center" vertical="top"/>
    </xf>
    <xf numFmtId="202" fontId="75" fillId="71" borderId="0" xfId="1" applyNumberFormat="1" applyFont="1" applyFill="1" applyAlignment="1">
      <alignment vertical="top"/>
    </xf>
    <xf numFmtId="202" fontId="75" fillId="71" borderId="0" xfId="2842" applyNumberFormat="1" applyFont="1" applyFill="1" applyAlignment="1">
      <alignment vertical="top"/>
    </xf>
    <xf numFmtId="202" fontId="75" fillId="71" borderId="0" xfId="0" applyNumberFormat="1" applyFont="1" applyFill="1" applyAlignment="1">
      <alignment vertical="top"/>
    </xf>
    <xf numFmtId="202" fontId="75" fillId="71" borderId="0" xfId="1" applyNumberFormat="1" applyFont="1" applyFill="1" applyAlignment="1">
      <alignment horizontal="center" vertical="top"/>
    </xf>
    <xf numFmtId="202" fontId="75" fillId="71" borderId="46" xfId="1" applyNumberFormat="1" applyFont="1" applyFill="1" applyBorder="1" applyAlignment="1">
      <alignment vertical="top"/>
    </xf>
    <xf numFmtId="202" fontId="75" fillId="71" borderId="46" xfId="2842" applyNumberFormat="1" applyFont="1" applyFill="1" applyBorder="1" applyAlignment="1">
      <alignment horizontal="center" vertical="top"/>
    </xf>
    <xf numFmtId="193" fontId="75" fillId="0" borderId="0" xfId="1" applyNumberFormat="1" applyFont="1" applyAlignment="1">
      <alignment horizontal="left" vertical="top" wrapText="1"/>
    </xf>
    <xf numFmtId="193" fontId="75" fillId="74" borderId="57" xfId="1" applyNumberFormat="1" applyFont="1" applyFill="1" applyBorder="1" applyAlignment="1">
      <alignment horizontal="left" vertical="top" wrapText="1"/>
    </xf>
    <xf numFmtId="193" fontId="67" fillId="71" borderId="0" xfId="1" applyNumberFormat="1" applyFont="1" applyFill="1" applyAlignment="1">
      <alignment horizontal="left" vertical="top" wrapText="1"/>
    </xf>
    <xf numFmtId="193" fontId="67" fillId="75" borderId="0" xfId="1" applyNumberFormat="1" applyFont="1" applyFill="1" applyAlignment="1">
      <alignment horizontal="left" vertical="top" wrapText="1"/>
    </xf>
    <xf numFmtId="193" fontId="75" fillId="75" borderId="0" xfId="1" applyNumberFormat="1" applyFont="1" applyFill="1" applyAlignment="1">
      <alignment horizontal="left" vertical="top" wrapText="1"/>
    </xf>
    <xf numFmtId="193" fontId="75" fillId="71" borderId="0" xfId="1" applyNumberFormat="1" applyFont="1" applyFill="1" applyAlignment="1">
      <alignment horizontal="left" vertical="top" wrapText="1"/>
    </xf>
    <xf numFmtId="193" fontId="67" fillId="71" borderId="51" xfId="1" applyNumberFormat="1" applyFont="1" applyFill="1" applyBorder="1" applyAlignment="1">
      <alignment horizontal="left" vertical="top" wrapText="1"/>
    </xf>
    <xf numFmtId="193" fontId="67" fillId="75" borderId="51" xfId="1" applyNumberFormat="1" applyFont="1" applyFill="1" applyBorder="1" applyAlignment="1">
      <alignment horizontal="left" vertical="top" wrapText="1"/>
    </xf>
    <xf numFmtId="193" fontId="75" fillId="75" borderId="51" xfId="1" applyNumberFormat="1" applyFont="1" applyFill="1" applyBorder="1" applyAlignment="1">
      <alignment horizontal="left" vertical="top" wrapText="1"/>
    </xf>
    <xf numFmtId="192" fontId="67" fillId="0" borderId="0" xfId="1" applyNumberFormat="1" applyFont="1" applyAlignment="1">
      <alignment vertical="top"/>
    </xf>
    <xf numFmtId="192" fontId="67" fillId="0" borderId="0" xfId="1" applyNumberFormat="1" applyFont="1" applyAlignment="1">
      <alignment horizontal="center" vertical="top"/>
    </xf>
    <xf numFmtId="10" fontId="67" fillId="0" borderId="0" xfId="2842" applyNumberFormat="1" applyFont="1" applyAlignment="1">
      <alignment horizontal="center" vertical="top"/>
    </xf>
    <xf numFmtId="195" fontId="67" fillId="0" borderId="0" xfId="1" applyNumberFormat="1" applyFont="1" applyAlignment="1">
      <alignment vertical="top"/>
    </xf>
    <xf numFmtId="196" fontId="67" fillId="0" borderId="0" xfId="0" applyNumberFormat="1" applyFont="1" applyAlignment="1">
      <alignment vertical="top"/>
    </xf>
    <xf numFmtId="193" fontId="67" fillId="0" borderId="46" xfId="1" applyNumberFormat="1" applyFont="1" applyBorder="1" applyAlignment="1">
      <alignment horizontal="left" vertical="top" wrapText="1"/>
    </xf>
    <xf numFmtId="49" fontId="67" fillId="0" borderId="46" xfId="0" applyNumberFormat="1" applyFont="1" applyBorder="1" applyAlignment="1">
      <alignment horizontal="left" vertical="top" wrapText="1"/>
    </xf>
    <xf numFmtId="166" fontId="67" fillId="0" borderId="47" xfId="1" applyFont="1" applyBorder="1" applyAlignment="1">
      <alignment horizontal="center" vertical="top"/>
    </xf>
    <xf numFmtId="0" fontId="67" fillId="0" borderId="46" xfId="0" applyFont="1" applyBorder="1" applyAlignment="1">
      <alignment horizontal="center" vertical="top" wrapText="1"/>
    </xf>
    <xf numFmtId="0" fontId="75" fillId="0" borderId="46" xfId="0" applyFont="1" applyBorder="1" applyAlignment="1">
      <alignment horizontal="center" vertical="top" wrapText="1"/>
    </xf>
    <xf numFmtId="196" fontId="75" fillId="0" borderId="0" xfId="1" applyNumberFormat="1" applyFont="1" applyAlignment="1">
      <alignment vertical="top"/>
    </xf>
    <xf numFmtId="196" fontId="75" fillId="0" borderId="0" xfId="2842" applyNumberFormat="1" applyFont="1" applyAlignment="1">
      <alignment vertical="top"/>
    </xf>
    <xf numFmtId="196" fontId="75" fillId="0" borderId="0" xfId="0" applyNumberFormat="1" applyFont="1" applyAlignment="1">
      <alignment vertical="top"/>
    </xf>
    <xf numFmtId="196" fontId="75" fillId="0" borderId="0" xfId="1" applyNumberFormat="1" applyFont="1" applyAlignment="1">
      <alignment horizontal="center" vertical="top"/>
    </xf>
    <xf numFmtId="197" fontId="67" fillId="0" borderId="0" xfId="1" applyNumberFormat="1" applyFont="1" applyAlignment="1">
      <alignment vertical="top"/>
    </xf>
    <xf numFmtId="197" fontId="67" fillId="0" borderId="0" xfId="2842" applyNumberFormat="1" applyFont="1" applyAlignment="1">
      <alignment vertical="top"/>
    </xf>
    <xf numFmtId="197" fontId="67" fillId="0" borderId="0" xfId="0" applyNumberFormat="1" applyFont="1" applyAlignment="1">
      <alignment vertical="top"/>
    </xf>
    <xf numFmtId="197" fontId="67" fillId="0" borderId="0" xfId="1" applyNumberFormat="1" applyFont="1" applyAlignment="1">
      <alignment horizontal="center" vertical="top"/>
    </xf>
    <xf numFmtId="196" fontId="67" fillId="0" borderId="0" xfId="1" applyNumberFormat="1" applyFont="1" applyAlignment="1">
      <alignment vertical="top"/>
    </xf>
    <xf numFmtId="196" fontId="67" fillId="0" borderId="0" xfId="2842" applyNumberFormat="1" applyFont="1" applyAlignment="1">
      <alignment vertical="top"/>
    </xf>
    <xf numFmtId="196" fontId="67" fillId="0" borderId="0" xfId="1" applyNumberFormat="1" applyFont="1" applyAlignment="1">
      <alignment horizontal="center" vertical="top"/>
    </xf>
    <xf numFmtId="197" fontId="75" fillId="0" borderId="0" xfId="1" applyNumberFormat="1" applyFont="1" applyAlignment="1">
      <alignment vertical="top"/>
    </xf>
    <xf numFmtId="197" fontId="75" fillId="0" borderId="0" xfId="2842" applyNumberFormat="1" applyFont="1" applyAlignment="1">
      <alignment vertical="top"/>
    </xf>
    <xf numFmtId="197" fontId="75" fillId="0" borderId="0" xfId="0" applyNumberFormat="1" applyFont="1" applyAlignment="1">
      <alignment vertical="top"/>
    </xf>
    <xf numFmtId="197" fontId="75" fillId="0" borderId="0" xfId="1" applyNumberFormat="1" applyFont="1" applyAlignment="1">
      <alignment horizontal="center" vertical="top"/>
    </xf>
    <xf numFmtId="193" fontId="67" fillId="0" borderId="0" xfId="1" applyNumberFormat="1" applyFont="1" applyAlignment="1">
      <alignment horizontal="left" vertical="top" wrapText="1"/>
    </xf>
    <xf numFmtId="197" fontId="67" fillId="75" borderId="59" xfId="1" applyNumberFormat="1" applyFont="1" applyFill="1" applyBorder="1" applyAlignment="1">
      <alignment vertical="top"/>
    </xf>
    <xf numFmtId="197" fontId="67" fillId="75" borderId="51" xfId="1" applyNumberFormat="1" applyFont="1" applyFill="1" applyBorder="1" applyAlignment="1">
      <alignment vertical="top"/>
    </xf>
    <xf numFmtId="197" fontId="67" fillId="75" borderId="59" xfId="2842" applyNumberFormat="1" applyFont="1" applyFill="1" applyBorder="1" applyAlignment="1">
      <alignment horizontal="center" vertical="top"/>
    </xf>
    <xf numFmtId="197" fontId="67" fillId="75" borderId="51" xfId="0" applyNumberFormat="1" applyFont="1" applyFill="1" applyBorder="1" applyAlignment="1">
      <alignment vertical="top"/>
    </xf>
    <xf numFmtId="197" fontId="67" fillId="75" borderId="51" xfId="2842" applyNumberFormat="1" applyFont="1" applyFill="1" applyBorder="1" applyAlignment="1">
      <alignment vertical="top"/>
    </xf>
    <xf numFmtId="197" fontId="67" fillId="75" borderId="51" xfId="1" applyNumberFormat="1" applyFont="1" applyFill="1" applyBorder="1" applyAlignment="1">
      <alignment horizontal="center" vertical="top"/>
    </xf>
    <xf numFmtId="196" fontId="75" fillId="75" borderId="46" xfId="1" applyNumberFormat="1" applyFont="1" applyFill="1" applyBorder="1" applyAlignment="1">
      <alignment vertical="top"/>
    </xf>
    <xf numFmtId="196" fontId="75" fillId="75" borderId="0" xfId="1" applyNumberFormat="1" applyFont="1" applyFill="1" applyAlignment="1">
      <alignment vertical="top"/>
    </xf>
    <xf numFmtId="196" fontId="75" fillId="75" borderId="46" xfId="2842" applyNumberFormat="1" applyFont="1" applyFill="1" applyBorder="1" applyAlignment="1">
      <alignment horizontal="center" vertical="top"/>
    </xf>
    <xf numFmtId="196" fontId="75" fillId="75" borderId="0" xfId="0" applyNumberFormat="1" applyFont="1" applyFill="1" applyAlignment="1">
      <alignment vertical="top"/>
    </xf>
    <xf numFmtId="196" fontId="75" fillId="75" borderId="0" xfId="2842" applyNumberFormat="1" applyFont="1" applyFill="1" applyAlignment="1">
      <alignment vertical="top"/>
    </xf>
    <xf numFmtId="196" fontId="75" fillId="75" borderId="0" xfId="1" applyNumberFormat="1" applyFont="1" applyFill="1" applyAlignment="1">
      <alignment horizontal="center" vertical="top"/>
    </xf>
    <xf numFmtId="203" fontId="75" fillId="71" borderId="46" xfId="1" applyNumberFormat="1" applyFont="1" applyFill="1" applyBorder="1" applyAlignment="1">
      <alignment vertical="top"/>
    </xf>
    <xf numFmtId="203" fontId="75" fillId="71" borderId="0" xfId="1" applyNumberFormat="1" applyFont="1" applyFill="1" applyAlignment="1">
      <alignment vertical="top"/>
    </xf>
    <xf numFmtId="203" fontId="75" fillId="71" borderId="46" xfId="2842" applyNumberFormat="1" applyFont="1" applyFill="1" applyBorder="1" applyAlignment="1">
      <alignment horizontal="center" vertical="top"/>
    </xf>
    <xf numFmtId="203" fontId="75" fillId="71" borderId="0" xfId="0" applyNumberFormat="1" applyFont="1" applyFill="1" applyAlignment="1">
      <alignment vertical="top"/>
    </xf>
    <xf numFmtId="203" fontId="75" fillId="71" borderId="0" xfId="2842" applyNumberFormat="1" applyFont="1" applyFill="1" applyAlignment="1">
      <alignment vertical="top"/>
    </xf>
    <xf numFmtId="203" fontId="75" fillId="71" borderId="0" xfId="1" applyNumberFormat="1" applyFont="1" applyFill="1" applyAlignment="1">
      <alignment horizontal="center" vertical="top"/>
    </xf>
    <xf numFmtId="202" fontId="67" fillId="75" borderId="59" xfId="1" applyNumberFormat="1" applyFont="1" applyFill="1" applyBorder="1" applyAlignment="1">
      <alignment vertical="top"/>
    </xf>
    <xf numFmtId="202" fontId="67" fillId="75" borderId="51" xfId="1" applyNumberFormat="1" applyFont="1" applyFill="1" applyBorder="1" applyAlignment="1">
      <alignment vertical="top"/>
    </xf>
    <xf numFmtId="202" fontId="67" fillId="75" borderId="59" xfId="2842" applyNumberFormat="1" applyFont="1" applyFill="1" applyBorder="1" applyAlignment="1">
      <alignment horizontal="center" vertical="top"/>
    </xf>
    <xf numFmtId="202" fontId="67" fillId="75" borderId="51" xfId="0" applyNumberFormat="1" applyFont="1" applyFill="1" applyBorder="1" applyAlignment="1">
      <alignment vertical="top"/>
    </xf>
    <xf numFmtId="202" fontId="67" fillId="75" borderId="51" xfId="2842" applyNumberFormat="1" applyFont="1" applyFill="1" applyBorder="1" applyAlignment="1">
      <alignment vertical="top"/>
    </xf>
    <xf numFmtId="202" fontId="67" fillId="75" borderId="51" xfId="1" applyNumberFormat="1" applyFont="1" applyFill="1" applyBorder="1" applyAlignment="1">
      <alignment horizontal="center" vertical="top"/>
    </xf>
    <xf numFmtId="202" fontId="67" fillId="71" borderId="59" xfId="1" applyNumberFormat="1" applyFont="1" applyFill="1" applyBorder="1" applyAlignment="1">
      <alignment vertical="top"/>
    </xf>
    <xf numFmtId="202" fontId="67" fillId="71" borderId="51" xfId="1" applyNumberFormat="1" applyFont="1" applyFill="1" applyBorder="1" applyAlignment="1">
      <alignment vertical="top"/>
    </xf>
    <xf numFmtId="202" fontId="67" fillId="71" borderId="59" xfId="2842" applyNumberFormat="1" applyFont="1" applyFill="1" applyBorder="1" applyAlignment="1">
      <alignment horizontal="center" vertical="top"/>
    </xf>
    <xf numFmtId="202" fontId="67" fillId="71" borderId="51" xfId="0" applyNumberFormat="1" applyFont="1" applyFill="1" applyBorder="1" applyAlignment="1">
      <alignment vertical="top"/>
    </xf>
    <xf numFmtId="202" fontId="67" fillId="71" borderId="51" xfId="2842" applyNumberFormat="1" applyFont="1" applyFill="1" applyBorder="1" applyAlignment="1">
      <alignment vertical="top"/>
    </xf>
    <xf numFmtId="202" fontId="67" fillId="71" borderId="51" xfId="1" applyNumberFormat="1" applyFont="1" applyFill="1" applyBorder="1" applyAlignment="1">
      <alignment horizontal="center" vertical="top"/>
    </xf>
    <xf numFmtId="202" fontId="75" fillId="74" borderId="57" xfId="1" applyNumberFormat="1" applyFont="1" applyFill="1" applyBorder="1" applyAlignment="1">
      <alignment vertical="top"/>
    </xf>
    <xf numFmtId="202" fontId="75" fillId="74" borderId="57" xfId="2842" applyNumberFormat="1" applyFont="1" applyFill="1" applyBorder="1" applyAlignment="1">
      <alignment vertical="top"/>
    </xf>
    <xf numFmtId="202" fontId="75" fillId="74" borderId="57" xfId="2842" applyNumberFormat="1" applyFont="1" applyFill="1" applyBorder="1" applyAlignment="1">
      <alignment horizontal="center" vertical="top"/>
    </xf>
    <xf numFmtId="202" fontId="75" fillId="74" borderId="57" xfId="0" applyNumberFormat="1" applyFont="1" applyFill="1" applyBorder="1" applyAlignment="1">
      <alignment vertical="top"/>
    </xf>
    <xf numFmtId="202" fontId="75" fillId="74" borderId="57" xfId="1" applyNumberFormat="1" applyFont="1" applyFill="1" applyBorder="1" applyAlignment="1">
      <alignment horizontal="center" vertical="top"/>
    </xf>
    <xf numFmtId="196" fontId="75" fillId="0" borderId="46" xfId="1" applyNumberFormat="1" applyFont="1" applyBorder="1" applyAlignment="1">
      <alignment vertical="top"/>
    </xf>
    <xf numFmtId="196" fontId="75" fillId="0" borderId="46" xfId="2842" applyNumberFormat="1" applyFont="1" applyBorder="1" applyAlignment="1">
      <alignment horizontal="center" vertical="top"/>
    </xf>
    <xf numFmtId="196" fontId="67" fillId="0" borderId="46" xfId="1" applyNumberFormat="1" applyFont="1" applyBorder="1" applyAlignment="1">
      <alignment vertical="top"/>
    </xf>
    <xf numFmtId="196" fontId="67" fillId="0" borderId="46" xfId="2842" applyNumberFormat="1" applyFont="1" applyBorder="1" applyAlignment="1">
      <alignment horizontal="center" vertical="top"/>
    </xf>
    <xf numFmtId="197" fontId="75" fillId="0" borderId="46" xfId="1" applyNumberFormat="1" applyFont="1" applyBorder="1" applyAlignment="1">
      <alignment vertical="top"/>
    </xf>
    <xf numFmtId="197" fontId="75" fillId="0" borderId="46" xfId="2842" applyNumberFormat="1" applyFont="1" applyBorder="1" applyAlignment="1">
      <alignment horizontal="center" vertical="top"/>
    </xf>
    <xf numFmtId="197" fontId="67" fillId="0" borderId="46" xfId="1" applyNumberFormat="1" applyFont="1" applyBorder="1" applyAlignment="1">
      <alignment vertical="top"/>
    </xf>
    <xf numFmtId="197" fontId="67" fillId="0" borderId="46" xfId="2842" applyNumberFormat="1" applyFont="1" applyBorder="1" applyAlignment="1">
      <alignment horizontal="center" vertical="top"/>
    </xf>
    <xf numFmtId="197" fontId="67" fillId="0" borderId="0" xfId="0" applyNumberFormat="1" applyFont="1" applyAlignment="1">
      <alignment horizontal="center" vertical="top"/>
    </xf>
    <xf numFmtId="49" fontId="70" fillId="0" borderId="63" xfId="0" applyNumberFormat="1" applyFont="1" applyBorder="1" applyAlignment="1" applyProtection="1">
      <alignment horizontal="left" vertical="center"/>
      <protection hidden="1"/>
    </xf>
    <xf numFmtId="0" fontId="70" fillId="0" borderId="0" xfId="0" applyFont="1" applyAlignment="1" applyProtection="1">
      <alignment horizontal="left" vertical="center"/>
      <protection hidden="1"/>
    </xf>
    <xf numFmtId="185" fontId="70" fillId="0" borderId="0" xfId="1" applyNumberFormat="1" applyFont="1" applyAlignment="1" applyProtection="1">
      <alignment horizontal="left" vertical="center"/>
      <protection hidden="1"/>
    </xf>
    <xf numFmtId="9" fontId="70" fillId="0" borderId="0" xfId="2842" applyFont="1" applyAlignment="1" applyProtection="1">
      <alignment horizontal="left" vertical="center"/>
      <protection hidden="1"/>
    </xf>
    <xf numFmtId="0" fontId="82" fillId="0" borderId="0" xfId="0" applyFont="1" applyAlignment="1" applyProtection="1">
      <alignment horizontal="left" vertical="center"/>
      <protection hidden="1"/>
    </xf>
    <xf numFmtId="49" fontId="70" fillId="0" borderId="0" xfId="0" applyNumberFormat="1" applyFont="1" applyAlignment="1" applyProtection="1">
      <alignment horizontal="left" vertical="center"/>
      <protection hidden="1"/>
    </xf>
    <xf numFmtId="49" fontId="70" fillId="0" borderId="0" xfId="1" applyNumberFormat="1" applyFont="1" applyAlignment="1" applyProtection="1">
      <alignment horizontal="left" vertical="center"/>
      <protection hidden="1"/>
    </xf>
    <xf numFmtId="49" fontId="70" fillId="0" borderId="38" xfId="0" applyNumberFormat="1" applyFont="1" applyBorder="1" applyAlignment="1" applyProtection="1">
      <alignment horizontal="left" vertical="center"/>
      <protection hidden="1"/>
    </xf>
    <xf numFmtId="0" fontId="70" fillId="0" borderId="62" xfId="0" applyFont="1" applyBorder="1" applyAlignment="1" applyProtection="1">
      <alignment horizontal="left" vertical="center"/>
      <protection hidden="1"/>
    </xf>
    <xf numFmtId="185" fontId="70" fillId="0" borderId="62" xfId="1" applyNumberFormat="1" applyFont="1" applyBorder="1" applyAlignment="1" applyProtection="1">
      <alignment horizontal="left" vertical="center"/>
      <protection hidden="1"/>
    </xf>
    <xf numFmtId="9" fontId="70" fillId="0" borderId="62" xfId="2842" applyFont="1" applyBorder="1" applyAlignment="1" applyProtection="1">
      <alignment horizontal="left" vertical="center"/>
      <protection hidden="1"/>
    </xf>
    <xf numFmtId="0" fontId="82" fillId="0" borderId="62" xfId="0" applyFont="1" applyBorder="1" applyAlignment="1" applyProtection="1">
      <alignment horizontal="left" vertical="center"/>
      <protection hidden="1"/>
    </xf>
    <xf numFmtId="49" fontId="70" fillId="0" borderId="62" xfId="0" applyNumberFormat="1" applyFont="1" applyBorder="1" applyAlignment="1" applyProtection="1">
      <alignment horizontal="left" vertical="center"/>
      <protection hidden="1"/>
    </xf>
    <xf numFmtId="49" fontId="70" fillId="0" borderId="62" xfId="1" applyNumberFormat="1" applyFont="1" applyBorder="1" applyAlignment="1" applyProtection="1">
      <alignment horizontal="left" vertical="center"/>
      <protection hidden="1"/>
    </xf>
    <xf numFmtId="49" fontId="70" fillId="0" borderId="64" xfId="0" applyNumberFormat="1" applyFont="1" applyBorder="1" applyAlignment="1" applyProtection="1">
      <alignment horizontal="left" vertical="center"/>
      <protection hidden="1"/>
    </xf>
    <xf numFmtId="49" fontId="70" fillId="0" borderId="40" xfId="0" applyNumberFormat="1" applyFont="1" applyBorder="1" applyAlignment="1" applyProtection="1">
      <alignment horizontal="left" vertical="center"/>
      <protection hidden="1"/>
    </xf>
    <xf numFmtId="196" fontId="75" fillId="75" borderId="0" xfId="1" applyNumberFormat="1" applyFont="1" applyFill="1" applyAlignment="1">
      <alignment horizontal="right" vertical="top"/>
    </xf>
    <xf numFmtId="196" fontId="75" fillId="75" borderId="46" xfId="1" applyNumberFormat="1" applyFont="1" applyFill="1" applyBorder="1" applyAlignment="1">
      <alignment horizontal="right" vertical="top"/>
    </xf>
    <xf numFmtId="196" fontId="75" fillId="75" borderId="61" xfId="1" applyNumberFormat="1" applyFont="1" applyFill="1" applyBorder="1" applyAlignment="1">
      <alignment horizontal="right" vertical="top"/>
    </xf>
    <xf numFmtId="193" fontId="74" fillId="0" borderId="0" xfId="1" applyNumberFormat="1" applyFont="1" applyAlignment="1">
      <alignment horizontal="left" vertical="top"/>
    </xf>
    <xf numFmtId="49" fontId="84" fillId="0" borderId="63" xfId="1" applyNumberFormat="1" applyFont="1" applyBorder="1" applyAlignment="1" applyProtection="1">
      <alignment horizontal="left" vertical="center"/>
      <protection hidden="1"/>
    </xf>
    <xf numFmtId="166" fontId="84" fillId="0" borderId="0" xfId="1" applyFont="1" applyAlignment="1" applyProtection="1">
      <alignment horizontal="left" vertical="center"/>
      <protection hidden="1"/>
    </xf>
    <xf numFmtId="197" fontId="84" fillId="0" borderId="0" xfId="1" applyNumberFormat="1" applyFont="1" applyAlignment="1" applyProtection="1">
      <alignment horizontal="left" vertical="center"/>
      <protection hidden="1"/>
    </xf>
    <xf numFmtId="9" fontId="84" fillId="0" borderId="0" xfId="2842" applyFont="1" applyAlignment="1" applyProtection="1">
      <alignment horizontal="left" vertical="center"/>
      <protection hidden="1"/>
    </xf>
    <xf numFmtId="185" fontId="84" fillId="0" borderId="0" xfId="1" applyNumberFormat="1" applyFont="1" applyAlignment="1" applyProtection="1">
      <alignment horizontal="left" vertical="center"/>
      <protection hidden="1"/>
    </xf>
    <xf numFmtId="49" fontId="84" fillId="0" borderId="0" xfId="1" applyNumberFormat="1" applyFont="1" applyAlignment="1" applyProtection="1">
      <alignment horizontal="left" vertical="center"/>
      <protection hidden="1"/>
    </xf>
    <xf numFmtId="49" fontId="84" fillId="0" borderId="38" xfId="1" applyNumberFormat="1" applyFont="1" applyBorder="1" applyAlignment="1" applyProtection="1">
      <alignment horizontal="left" vertical="center"/>
      <protection hidden="1"/>
    </xf>
    <xf numFmtId="166" fontId="84" fillId="0" borderId="62" xfId="1" applyFont="1" applyBorder="1" applyAlignment="1" applyProtection="1">
      <alignment horizontal="left" vertical="center"/>
      <protection hidden="1"/>
    </xf>
    <xf numFmtId="197" fontId="84" fillId="0" borderId="62" xfId="1" applyNumberFormat="1" applyFont="1" applyBorder="1" applyAlignment="1" applyProtection="1">
      <alignment horizontal="left" vertical="center"/>
      <protection hidden="1"/>
    </xf>
    <xf numFmtId="9" fontId="84" fillId="0" borderId="62" xfId="2842" applyFont="1" applyBorder="1" applyAlignment="1" applyProtection="1">
      <alignment horizontal="left" vertical="center"/>
      <protection hidden="1"/>
    </xf>
    <xf numFmtId="185" fontId="84" fillId="0" borderId="62" xfId="1" applyNumberFormat="1" applyFont="1" applyBorder="1" applyAlignment="1" applyProtection="1">
      <alignment horizontal="left" vertical="center"/>
      <protection hidden="1"/>
    </xf>
    <xf numFmtId="49" fontId="84" fillId="0" borderId="62" xfId="1" applyNumberFormat="1" applyFont="1" applyBorder="1" applyAlignment="1" applyProtection="1">
      <alignment horizontal="left" vertical="center"/>
      <protection hidden="1"/>
    </xf>
    <xf numFmtId="49" fontId="84" fillId="0" borderId="64" xfId="1" applyNumberFormat="1" applyFont="1" applyBorder="1" applyAlignment="1" applyProtection="1">
      <alignment horizontal="left" vertical="center"/>
      <protection hidden="1"/>
    </xf>
    <xf numFmtId="49" fontId="84" fillId="0" borderId="40" xfId="1" applyNumberFormat="1" applyFont="1" applyBorder="1" applyAlignment="1" applyProtection="1">
      <alignment horizontal="left" vertical="center"/>
      <protection hidden="1"/>
    </xf>
    <xf numFmtId="188" fontId="74" fillId="0" borderId="0" xfId="1" applyNumberFormat="1" applyFont="1" applyAlignment="1">
      <alignment horizontal="right" vertical="center"/>
    </xf>
    <xf numFmtId="0" fontId="83" fillId="0" borderId="0" xfId="0" applyFont="1" applyAlignment="1" applyProtection="1">
      <alignment horizontal="left" vertical="center"/>
      <protection hidden="1"/>
    </xf>
    <xf numFmtId="0" fontId="83" fillId="0" borderId="62" xfId="0" applyFont="1" applyBorder="1" applyAlignment="1" applyProtection="1">
      <alignment horizontal="left" vertical="center"/>
      <protection hidden="1"/>
    </xf>
    <xf numFmtId="0" fontId="75" fillId="0" borderId="0" xfId="0" applyFont="1" applyAlignment="1">
      <alignment horizontal="center" vertical="top"/>
    </xf>
    <xf numFmtId="197" fontId="67" fillId="71" borderId="46" xfId="1" applyNumberFormat="1" applyFont="1" applyFill="1" applyBorder="1" applyAlignment="1">
      <alignment horizontal="right" vertical="top"/>
    </xf>
    <xf numFmtId="197" fontId="67" fillId="71" borderId="0" xfId="1" applyNumberFormat="1" applyFont="1" applyFill="1" applyAlignment="1">
      <alignment horizontal="right" vertical="top"/>
    </xf>
    <xf numFmtId="193" fontId="75" fillId="71" borderId="59" xfId="1" applyNumberFormat="1" applyFont="1" applyFill="1" applyBorder="1" applyAlignment="1">
      <alignment horizontal="left" vertical="top" wrapText="1"/>
    </xf>
    <xf numFmtId="188" fontId="75" fillId="71" borderId="51" xfId="1" applyNumberFormat="1" applyFont="1" applyFill="1" applyBorder="1" applyAlignment="1">
      <alignment horizontal="left" vertical="top" wrapText="1"/>
    </xf>
    <xf numFmtId="49" fontId="75" fillId="71" borderId="59" xfId="1" applyNumberFormat="1" applyFont="1" applyFill="1" applyBorder="1" applyAlignment="1">
      <alignment horizontal="left" vertical="top" wrapText="1"/>
    </xf>
    <xf numFmtId="9" fontId="75" fillId="71" borderId="51" xfId="2842" applyFont="1" applyFill="1" applyBorder="1" applyAlignment="1">
      <alignment horizontal="right" vertical="top"/>
    </xf>
    <xf numFmtId="9" fontId="75" fillId="71" borderId="51" xfId="2842" applyFont="1" applyFill="1" applyBorder="1" applyAlignment="1">
      <alignment horizontal="center" vertical="top"/>
    </xf>
    <xf numFmtId="166" fontId="75" fillId="71" borderId="51" xfId="1" applyFont="1" applyFill="1" applyBorder="1" applyAlignment="1">
      <alignment horizontal="center" vertical="top"/>
    </xf>
    <xf numFmtId="185" fontId="75" fillId="71" borderId="51" xfId="1" applyNumberFormat="1" applyFont="1" applyFill="1" applyBorder="1" applyAlignment="1">
      <alignment horizontal="right" vertical="top"/>
    </xf>
    <xf numFmtId="166" fontId="75" fillId="71" borderId="59" xfId="1" applyFont="1" applyFill="1" applyBorder="1" applyAlignment="1">
      <alignment horizontal="center" vertical="top" wrapText="1"/>
    </xf>
    <xf numFmtId="192" fontId="75" fillId="71" borderId="59" xfId="1" applyNumberFormat="1" applyFont="1" applyFill="1" applyBorder="1" applyAlignment="1">
      <alignment horizontal="right" vertical="top"/>
    </xf>
    <xf numFmtId="192" fontId="75" fillId="71" borderId="51" xfId="1" applyNumberFormat="1" applyFont="1" applyFill="1" applyBorder="1" applyAlignment="1">
      <alignment horizontal="right" vertical="top"/>
    </xf>
    <xf numFmtId="197" fontId="67" fillId="71" borderId="61" xfId="1" applyNumberFormat="1" applyFont="1" applyFill="1" applyBorder="1" applyAlignment="1">
      <alignment horizontal="right" vertical="top"/>
    </xf>
    <xf numFmtId="192" fontId="75" fillId="71" borderId="65" xfId="1" applyNumberFormat="1" applyFont="1" applyFill="1" applyBorder="1" applyAlignment="1">
      <alignment horizontal="right" vertical="top"/>
    </xf>
    <xf numFmtId="196" fontId="75" fillId="74" borderId="57" xfId="1" applyNumberFormat="1" applyFont="1" applyFill="1" applyBorder="1" applyAlignment="1">
      <alignment horizontal="right" vertical="top"/>
    </xf>
    <xf numFmtId="196" fontId="75" fillId="74" borderId="58" xfId="1" applyNumberFormat="1" applyFont="1" applyFill="1" applyBorder="1" applyAlignment="1">
      <alignment horizontal="right" vertical="top"/>
    </xf>
    <xf numFmtId="197" fontId="75" fillId="71" borderId="46" xfId="1" applyNumberFormat="1" applyFont="1" applyFill="1" applyBorder="1" applyAlignment="1">
      <alignment horizontal="right" vertical="top"/>
    </xf>
    <xf numFmtId="197" fontId="75" fillId="71" borderId="0" xfId="1" applyNumberFormat="1" applyFont="1" applyFill="1" applyAlignment="1">
      <alignment horizontal="right" vertical="top"/>
    </xf>
    <xf numFmtId="197" fontId="75" fillId="71" borderId="61" xfId="1" applyNumberFormat="1" applyFont="1" applyFill="1" applyBorder="1" applyAlignment="1">
      <alignment horizontal="right" vertical="top"/>
    </xf>
    <xf numFmtId="202" fontId="75" fillId="75" borderId="46" xfId="1" applyNumberFormat="1" applyFont="1" applyFill="1" applyBorder="1" applyAlignment="1">
      <alignment horizontal="right" vertical="top"/>
    </xf>
    <xf numFmtId="202" fontId="75" fillId="75" borderId="0" xfId="1" applyNumberFormat="1" applyFont="1" applyFill="1" applyAlignment="1">
      <alignment horizontal="right" vertical="top"/>
    </xf>
    <xf numFmtId="202" fontId="75" fillId="75" borderId="61" xfId="1" applyNumberFormat="1" applyFont="1" applyFill="1" applyBorder="1" applyAlignment="1">
      <alignment horizontal="right" vertical="top"/>
    </xf>
    <xf numFmtId="202" fontId="75" fillId="71" borderId="46" xfId="1" applyNumberFormat="1" applyFont="1" applyFill="1" applyBorder="1" applyAlignment="1">
      <alignment horizontal="right" vertical="top"/>
    </xf>
    <xf numFmtId="202" fontId="75" fillId="71" borderId="0" xfId="1" applyNumberFormat="1" applyFont="1" applyFill="1" applyAlignment="1">
      <alignment horizontal="right" vertical="top"/>
    </xf>
    <xf numFmtId="202" fontId="75" fillId="71" borderId="61" xfId="1" applyNumberFormat="1" applyFont="1" applyFill="1" applyBorder="1" applyAlignment="1">
      <alignment horizontal="right" vertical="top"/>
    </xf>
    <xf numFmtId="192" fontId="75" fillId="75" borderId="51" xfId="1" applyNumberFormat="1" applyFont="1" applyFill="1" applyBorder="1" applyAlignment="1">
      <alignment horizontal="right" vertical="top"/>
    </xf>
    <xf numFmtId="9" fontId="75" fillId="75" borderId="51" xfId="2842" applyFont="1" applyFill="1" applyBorder="1" applyAlignment="1">
      <alignment horizontal="right" vertical="top"/>
    </xf>
    <xf numFmtId="166" fontId="75" fillId="75" borderId="59" xfId="1" applyFont="1" applyFill="1" applyBorder="1" applyAlignment="1">
      <alignment horizontal="center" vertical="top" wrapText="1"/>
    </xf>
    <xf numFmtId="192" fontId="75" fillId="75" borderId="59" xfId="1" applyNumberFormat="1" applyFont="1" applyFill="1" applyBorder="1" applyAlignment="1">
      <alignment horizontal="right" vertical="top"/>
    </xf>
    <xf numFmtId="192" fontId="75" fillId="75" borderId="65" xfId="1" applyNumberFormat="1" applyFont="1" applyFill="1" applyBorder="1" applyAlignment="1">
      <alignment horizontal="right" vertical="top"/>
    </xf>
    <xf numFmtId="166" fontId="75" fillId="0" borderId="0" xfId="1" applyFont="1" applyAlignment="1">
      <alignment horizontal="left" vertical="top"/>
    </xf>
    <xf numFmtId="197" fontId="75" fillId="0" borderId="0" xfId="1" applyNumberFormat="1" applyFont="1" applyAlignment="1">
      <alignment horizontal="right" vertical="top"/>
    </xf>
    <xf numFmtId="9" fontId="75" fillId="0" borderId="0" xfId="2842" applyFont="1" applyAlignment="1">
      <alignment horizontal="right" vertical="top"/>
    </xf>
    <xf numFmtId="166" fontId="75" fillId="0" borderId="0" xfId="1" applyFont="1" applyAlignment="1">
      <alignment horizontal="right" vertical="top"/>
    </xf>
    <xf numFmtId="196" fontId="75" fillId="0" borderId="0" xfId="1" applyNumberFormat="1" applyFont="1" applyAlignment="1">
      <alignment horizontal="right" vertical="top"/>
    </xf>
    <xf numFmtId="193" fontId="75" fillId="0" borderId="0" xfId="0" applyNumberFormat="1" applyFont="1" applyAlignment="1">
      <alignment horizontal="left" vertical="top"/>
    </xf>
    <xf numFmtId="196" fontId="75" fillId="0" borderId="0" xfId="0" applyNumberFormat="1" applyFont="1" applyAlignment="1">
      <alignment horizontal="right" vertical="top"/>
    </xf>
    <xf numFmtId="9" fontId="75" fillId="0" borderId="0" xfId="0" applyNumberFormat="1" applyFont="1" applyAlignment="1">
      <alignment horizontal="center" vertical="top"/>
    </xf>
    <xf numFmtId="0" fontId="75" fillId="0" borderId="0" xfId="0" applyFont="1" applyAlignment="1">
      <alignment horizontal="right" vertical="top"/>
    </xf>
    <xf numFmtId="196" fontId="67" fillId="0" borderId="0" xfId="1" applyNumberFormat="1" applyFont="1" applyAlignment="1">
      <alignment horizontal="right" vertical="top"/>
    </xf>
    <xf numFmtId="196" fontId="78" fillId="0" borderId="0" xfId="0" applyNumberFormat="1" applyFont="1" applyAlignment="1">
      <alignment horizontal="left" vertical="top"/>
    </xf>
    <xf numFmtId="197" fontId="67" fillId="0" borderId="0" xfId="0" applyNumberFormat="1" applyFont="1" applyAlignment="1">
      <alignment horizontal="right" vertical="top"/>
    </xf>
    <xf numFmtId="166" fontId="67" fillId="0" borderId="0" xfId="1" applyFont="1" applyAlignment="1">
      <alignment horizontal="left" vertical="top" wrapText="1"/>
    </xf>
    <xf numFmtId="166" fontId="75" fillId="0" borderId="0" xfId="1" applyFont="1" applyAlignment="1">
      <alignment horizontal="left" vertical="top" wrapText="1"/>
    </xf>
    <xf numFmtId="188" fontId="75" fillId="0" borderId="0" xfId="0" applyNumberFormat="1" applyFont="1" applyAlignment="1">
      <alignment horizontal="left" vertical="top" wrapText="1"/>
    </xf>
    <xf numFmtId="193" fontId="75" fillId="0" borderId="46" xfId="0" applyNumberFormat="1" applyFont="1" applyBorder="1" applyAlignment="1">
      <alignment horizontal="left" vertical="top" wrapText="1"/>
    </xf>
    <xf numFmtId="193" fontId="67" fillId="0" borderId="46" xfId="0" applyNumberFormat="1" applyFont="1" applyBorder="1" applyAlignment="1">
      <alignment horizontal="left" vertical="top" wrapText="1"/>
    </xf>
    <xf numFmtId="166" fontId="67" fillId="0" borderId="46" xfId="1" applyFont="1" applyBorder="1" applyAlignment="1">
      <alignment horizontal="left" vertical="top" wrapText="1"/>
    </xf>
    <xf numFmtId="166" fontId="75" fillId="0" borderId="46" xfId="1" applyFont="1" applyBorder="1" applyAlignment="1">
      <alignment horizontal="left" vertical="top" wrapText="1"/>
    </xf>
    <xf numFmtId="185" fontId="75" fillId="0" borderId="47" xfId="0" applyNumberFormat="1" applyFont="1" applyBorder="1" applyAlignment="1">
      <alignment horizontal="center" vertical="top"/>
    </xf>
    <xf numFmtId="197" fontId="67" fillId="75" borderId="46" xfId="1" applyNumberFormat="1" applyFont="1" applyFill="1" applyBorder="1" applyAlignment="1">
      <alignment horizontal="right" vertical="top"/>
    </xf>
    <xf numFmtId="197" fontId="67" fillId="75" borderId="0" xfId="1" applyNumberFormat="1" applyFont="1" applyFill="1" applyAlignment="1">
      <alignment horizontal="right" vertical="top"/>
    </xf>
    <xf numFmtId="197" fontId="67" fillId="75" borderId="61" xfId="1" applyNumberFormat="1" applyFont="1" applyFill="1" applyBorder="1" applyAlignment="1">
      <alignment horizontal="right" vertical="top"/>
    </xf>
    <xf numFmtId="166" fontId="75" fillId="75" borderId="51" xfId="1" applyFont="1" applyFill="1" applyBorder="1" applyAlignment="1">
      <alignment horizontal="left" vertical="top" wrapText="1"/>
    </xf>
    <xf numFmtId="166" fontId="75" fillId="75" borderId="59" xfId="1" applyFont="1" applyFill="1" applyBorder="1" applyAlignment="1">
      <alignment horizontal="left" vertical="top" wrapText="1"/>
    </xf>
    <xf numFmtId="166" fontId="75" fillId="75" borderId="51" xfId="1" applyFont="1" applyFill="1" applyBorder="1" applyAlignment="1">
      <alignment horizontal="right" vertical="top"/>
    </xf>
    <xf numFmtId="166" fontId="67" fillId="71" borderId="51" xfId="1" applyFont="1" applyFill="1" applyBorder="1" applyAlignment="1">
      <alignment horizontal="left" vertical="top" wrapText="1"/>
    </xf>
    <xf numFmtId="166" fontId="67" fillId="71" borderId="59" xfId="1" applyFont="1" applyFill="1" applyBorder="1" applyAlignment="1">
      <alignment horizontal="left" vertical="top" wrapText="1"/>
    </xf>
    <xf numFmtId="9" fontId="67" fillId="71" borderId="51" xfId="2842" applyFont="1" applyFill="1" applyBorder="1" applyAlignment="1">
      <alignment horizontal="right" vertical="top"/>
    </xf>
    <xf numFmtId="166" fontId="67" fillId="71" borderId="51" xfId="1" applyFont="1" applyFill="1" applyBorder="1" applyAlignment="1">
      <alignment horizontal="right" vertical="top"/>
    </xf>
    <xf numFmtId="166" fontId="67" fillId="71" borderId="59" xfId="1" applyFont="1" applyFill="1" applyBorder="1" applyAlignment="1">
      <alignment horizontal="center" vertical="top" wrapText="1"/>
    </xf>
    <xf numFmtId="192" fontId="67" fillId="71" borderId="59" xfId="1" applyNumberFormat="1" applyFont="1" applyFill="1" applyBorder="1" applyAlignment="1">
      <alignment horizontal="right" vertical="top"/>
    </xf>
    <xf numFmtId="192" fontId="67" fillId="71" borderId="51" xfId="1" applyNumberFormat="1" applyFont="1" applyFill="1" applyBorder="1" applyAlignment="1">
      <alignment horizontal="right" vertical="top"/>
    </xf>
    <xf numFmtId="192" fontId="67" fillId="71" borderId="65" xfId="1" applyNumberFormat="1" applyFont="1" applyFill="1" applyBorder="1" applyAlignment="1">
      <alignment horizontal="right" vertical="top"/>
    </xf>
    <xf numFmtId="166" fontId="67" fillId="75" borderId="51" xfId="1" applyFont="1" applyFill="1" applyBorder="1" applyAlignment="1">
      <alignment horizontal="left" vertical="top" wrapText="1"/>
    </xf>
    <xf numFmtId="166" fontId="67" fillId="75" borderId="59" xfId="1" applyFont="1" applyFill="1" applyBorder="1" applyAlignment="1">
      <alignment horizontal="left" vertical="top" wrapText="1"/>
    </xf>
    <xf numFmtId="192" fontId="67" fillId="75" borderId="51" xfId="1" applyNumberFormat="1" applyFont="1" applyFill="1" applyBorder="1" applyAlignment="1">
      <alignment horizontal="right" vertical="top"/>
    </xf>
    <xf numFmtId="9" fontId="67" fillId="75" borderId="51" xfId="2842" applyFont="1" applyFill="1" applyBorder="1" applyAlignment="1">
      <alignment horizontal="right" vertical="top"/>
    </xf>
    <xf numFmtId="166" fontId="67" fillId="75" borderId="51" xfId="1" applyFont="1" applyFill="1" applyBorder="1" applyAlignment="1">
      <alignment horizontal="right" vertical="top"/>
    </xf>
    <xf numFmtId="166" fontId="67" fillId="75" borderId="59" xfId="1" applyFont="1" applyFill="1" applyBorder="1" applyAlignment="1">
      <alignment horizontal="center" vertical="top" wrapText="1"/>
    </xf>
    <xf numFmtId="192" fontId="67" fillId="75" borderId="59" xfId="1" applyNumberFormat="1" applyFont="1" applyFill="1" applyBorder="1" applyAlignment="1">
      <alignment horizontal="right" vertical="top"/>
    </xf>
    <xf numFmtId="192" fontId="67" fillId="75" borderId="65" xfId="1" applyNumberFormat="1" applyFont="1" applyFill="1" applyBorder="1" applyAlignment="1">
      <alignment horizontal="right" vertical="top"/>
    </xf>
    <xf numFmtId="202" fontId="67" fillId="71" borderId="46" xfId="1" applyNumberFormat="1" applyFont="1" applyFill="1" applyBorder="1" applyAlignment="1">
      <alignment horizontal="right" vertical="top"/>
    </xf>
    <xf numFmtId="202" fontId="67" fillId="71" borderId="0" xfId="1" applyNumberFormat="1" applyFont="1" applyFill="1" applyAlignment="1">
      <alignment horizontal="right" vertical="top"/>
    </xf>
    <xf numFmtId="202" fontId="67" fillId="71" borderId="61" xfId="1" applyNumberFormat="1" applyFont="1" applyFill="1" applyBorder="1" applyAlignment="1">
      <alignment horizontal="right" vertical="top"/>
    </xf>
    <xf numFmtId="202" fontId="75" fillId="75" borderId="59" xfId="1" applyNumberFormat="1" applyFont="1" applyFill="1" applyBorder="1" applyAlignment="1">
      <alignment horizontal="right" vertical="top"/>
    </xf>
    <xf numFmtId="202" fontId="75" fillId="75" borderId="51" xfId="1" applyNumberFormat="1" applyFont="1" applyFill="1" applyBorder="1" applyAlignment="1">
      <alignment horizontal="right" vertical="top"/>
    </xf>
    <xf numFmtId="202" fontId="75" fillId="75" borderId="65" xfId="1" applyNumberFormat="1" applyFont="1" applyFill="1" applyBorder="1" applyAlignment="1">
      <alignment horizontal="right" vertical="top"/>
    </xf>
    <xf numFmtId="202" fontId="67" fillId="75" borderId="46" xfId="1" applyNumberFormat="1" applyFont="1" applyFill="1" applyBorder="1" applyAlignment="1">
      <alignment horizontal="right" vertical="top"/>
    </xf>
    <xf numFmtId="202" fontId="67" fillId="75" borderId="0" xfId="1" applyNumberFormat="1" applyFont="1" applyFill="1" applyAlignment="1">
      <alignment horizontal="right" vertical="top"/>
    </xf>
    <xf numFmtId="202" fontId="67" fillId="75" borderId="61" xfId="1" applyNumberFormat="1" applyFont="1" applyFill="1" applyBorder="1" applyAlignment="1">
      <alignment horizontal="right" vertical="top"/>
    </xf>
    <xf numFmtId="166" fontId="75" fillId="71" borderId="51" xfId="1" applyFont="1" applyFill="1" applyBorder="1" applyAlignment="1">
      <alignment horizontal="left" vertical="top" wrapText="1"/>
    </xf>
    <xf numFmtId="166" fontId="75" fillId="71" borderId="59" xfId="1" applyFont="1" applyFill="1" applyBorder="1" applyAlignment="1">
      <alignment horizontal="left" vertical="top" wrapText="1"/>
    </xf>
    <xf numFmtId="166" fontId="75" fillId="71" borderId="60" xfId="1" applyFont="1" applyFill="1" applyBorder="1" applyAlignment="1">
      <alignment horizontal="center" vertical="top"/>
    </xf>
    <xf numFmtId="166" fontId="75" fillId="71" borderId="51" xfId="1" applyFont="1" applyFill="1" applyBorder="1" applyAlignment="1">
      <alignment horizontal="right" vertical="top"/>
    </xf>
    <xf numFmtId="202" fontId="75" fillId="71" borderId="59" xfId="1" applyNumberFormat="1" applyFont="1" applyFill="1" applyBorder="1" applyAlignment="1">
      <alignment horizontal="right" vertical="top"/>
    </xf>
    <xf numFmtId="202" fontId="75" fillId="71" borderId="51" xfId="1" applyNumberFormat="1" applyFont="1" applyFill="1" applyBorder="1" applyAlignment="1">
      <alignment horizontal="right" vertical="top"/>
    </xf>
    <xf numFmtId="202" fontId="75" fillId="71" borderId="65" xfId="1" applyNumberFormat="1" applyFont="1" applyFill="1" applyBorder="1" applyAlignment="1">
      <alignment horizontal="right" vertical="top"/>
    </xf>
    <xf numFmtId="166" fontId="67" fillId="0" borderId="46" xfId="1" applyFont="1" applyBorder="1" applyAlignment="1">
      <alignment horizontal="center" vertical="top" wrapText="1"/>
    </xf>
    <xf numFmtId="196" fontId="67" fillId="0" borderId="46" xfId="1" applyNumberFormat="1" applyFont="1" applyBorder="1" applyAlignment="1">
      <alignment horizontal="right" vertical="top"/>
    </xf>
    <xf numFmtId="196" fontId="67" fillId="0" borderId="61" xfId="1" applyNumberFormat="1" applyFont="1" applyBorder="1" applyAlignment="1">
      <alignment horizontal="right" vertical="top"/>
    </xf>
    <xf numFmtId="166" fontId="75" fillId="0" borderId="46" xfId="1" applyFont="1" applyBorder="1" applyAlignment="1">
      <alignment horizontal="center" vertical="top" wrapText="1"/>
    </xf>
    <xf numFmtId="197" fontId="75" fillId="0" borderId="46" xfId="1" applyNumberFormat="1" applyFont="1" applyBorder="1" applyAlignment="1">
      <alignment horizontal="right" vertical="top"/>
    </xf>
    <xf numFmtId="197" fontId="75" fillId="0" borderId="61" xfId="1" applyNumberFormat="1" applyFont="1" applyBorder="1" applyAlignment="1">
      <alignment horizontal="right" vertical="top"/>
    </xf>
    <xf numFmtId="197" fontId="67" fillId="0" borderId="46" xfId="1" applyNumberFormat="1" applyFont="1" applyBorder="1" applyAlignment="1">
      <alignment horizontal="right" vertical="top"/>
    </xf>
    <xf numFmtId="197" fontId="67" fillId="0" borderId="61" xfId="1" applyNumberFormat="1" applyFont="1" applyBorder="1" applyAlignment="1">
      <alignment horizontal="right" vertical="top"/>
    </xf>
    <xf numFmtId="196" fontId="75" fillId="0" borderId="46" xfId="1" applyNumberFormat="1" applyFont="1" applyBorder="1" applyAlignment="1">
      <alignment horizontal="right" vertical="top"/>
    </xf>
    <xf numFmtId="196" fontId="75" fillId="0" borderId="61" xfId="1" applyNumberFormat="1" applyFont="1" applyBorder="1" applyAlignment="1">
      <alignment horizontal="right" vertical="top"/>
    </xf>
    <xf numFmtId="196" fontId="75" fillId="0" borderId="46" xfId="0" applyNumberFormat="1" applyFont="1" applyBorder="1" applyAlignment="1">
      <alignment horizontal="right" vertical="top"/>
    </xf>
    <xf numFmtId="196" fontId="75" fillId="0" borderId="61" xfId="0" applyNumberFormat="1" applyFont="1" applyBorder="1" applyAlignment="1">
      <alignment horizontal="right" vertical="top"/>
    </xf>
    <xf numFmtId="197" fontId="67" fillId="0" borderId="46" xfId="0" applyNumberFormat="1" applyFont="1" applyBorder="1" applyAlignment="1">
      <alignment horizontal="right" vertical="top"/>
    </xf>
    <xf numFmtId="197" fontId="67" fillId="0" borderId="61" xfId="0" applyNumberFormat="1" applyFont="1" applyBorder="1" applyAlignment="1">
      <alignment horizontal="right" vertical="top"/>
    </xf>
    <xf numFmtId="49" fontId="70" fillId="0" borderId="66" xfId="0" applyNumberFormat="1" applyFont="1" applyBorder="1" applyAlignment="1" applyProtection="1">
      <alignment horizontal="left" vertical="center"/>
      <protection hidden="1"/>
    </xf>
    <xf numFmtId="0" fontId="70" fillId="0" borderId="67" xfId="0" applyFont="1" applyBorder="1" applyAlignment="1" applyProtection="1">
      <alignment horizontal="left" vertical="center"/>
      <protection hidden="1"/>
    </xf>
    <xf numFmtId="185" fontId="70" fillId="0" borderId="67" xfId="1" applyNumberFormat="1" applyFont="1" applyBorder="1" applyAlignment="1" applyProtection="1">
      <alignment horizontal="left" vertical="center"/>
      <protection hidden="1"/>
    </xf>
    <xf numFmtId="9" fontId="70" fillId="0" borderId="67" xfId="2842" applyFont="1" applyBorder="1" applyAlignment="1" applyProtection="1">
      <alignment horizontal="left" vertical="center"/>
      <protection hidden="1"/>
    </xf>
    <xf numFmtId="0" fontId="82" fillId="0" borderId="67" xfId="0" applyFont="1" applyBorder="1" applyAlignment="1" applyProtection="1">
      <alignment horizontal="left" vertical="center"/>
      <protection hidden="1"/>
    </xf>
    <xf numFmtId="49" fontId="70" fillId="0" borderId="67" xfId="0" applyNumberFormat="1" applyFont="1" applyBorder="1" applyAlignment="1" applyProtection="1">
      <alignment horizontal="left" vertical="center"/>
      <protection hidden="1"/>
    </xf>
    <xf numFmtId="0" fontId="83" fillId="0" borderId="67" xfId="0" applyFont="1" applyBorder="1" applyAlignment="1" applyProtection="1">
      <alignment horizontal="left" vertical="center"/>
      <protection hidden="1"/>
    </xf>
    <xf numFmtId="49" fontId="70" fillId="0" borderId="67" xfId="1" applyNumberFormat="1" applyFont="1" applyBorder="1" applyAlignment="1" applyProtection="1">
      <alignment horizontal="left" vertical="center"/>
      <protection hidden="1"/>
    </xf>
    <xf numFmtId="49" fontId="70" fillId="0" borderId="68" xfId="0" applyNumberFormat="1" applyFont="1" applyBorder="1" applyAlignment="1" applyProtection="1">
      <alignment horizontal="left" vertical="center"/>
      <protection hidden="1"/>
    </xf>
    <xf numFmtId="204" fontId="75" fillId="0" borderId="46" xfId="1" applyNumberFormat="1" applyFont="1" applyBorder="1" applyAlignment="1">
      <alignment horizontal="right" vertical="top"/>
    </xf>
    <xf numFmtId="204" fontId="75" fillId="0" borderId="0" xfId="1" applyNumberFormat="1" applyFont="1" applyAlignment="1">
      <alignment horizontal="right" vertical="top"/>
    </xf>
    <xf numFmtId="204" fontId="75" fillId="0" borderId="61" xfId="1" applyNumberFormat="1" applyFont="1" applyBorder="1" applyAlignment="1">
      <alignment horizontal="right" vertical="top"/>
    </xf>
    <xf numFmtId="49" fontId="75" fillId="0" borderId="0" xfId="1" applyNumberFormat="1" applyFont="1" applyAlignment="1">
      <alignment horizontal="center" vertical="top"/>
    </xf>
    <xf numFmtId="185" fontId="75" fillId="0" borderId="0" xfId="1" applyNumberFormat="1" applyFont="1" applyAlignment="1">
      <alignment horizontal="center" vertical="top"/>
    </xf>
    <xf numFmtId="192" fontId="67" fillId="71" borderId="61" xfId="1" applyNumberFormat="1" applyFont="1" applyFill="1" applyBorder="1" applyAlignment="1">
      <alignment vertical="top"/>
    </xf>
    <xf numFmtId="197" fontId="67" fillId="75" borderId="61" xfId="1" applyNumberFormat="1" applyFont="1" applyFill="1" applyBorder="1" applyAlignment="1">
      <alignment vertical="top"/>
    </xf>
    <xf numFmtId="192" fontId="67" fillId="75" borderId="61" xfId="1" applyNumberFormat="1" applyFont="1" applyFill="1" applyBorder="1" applyAlignment="1">
      <alignment vertical="top"/>
    </xf>
    <xf numFmtId="197" fontId="67" fillId="71" borderId="61" xfId="1" applyNumberFormat="1" applyFont="1" applyFill="1" applyBorder="1" applyAlignment="1">
      <alignment vertical="top"/>
    </xf>
    <xf numFmtId="197" fontId="67" fillId="75" borderId="65" xfId="1" applyNumberFormat="1" applyFont="1" applyFill="1" applyBorder="1" applyAlignment="1">
      <alignment vertical="top"/>
    </xf>
    <xf numFmtId="192" fontId="75" fillId="71" borderId="61" xfId="1" applyNumberFormat="1" applyFont="1" applyFill="1" applyBorder="1" applyAlignment="1">
      <alignment vertical="top"/>
    </xf>
    <xf numFmtId="196" fontId="75" fillId="75" borderId="61" xfId="1" applyNumberFormat="1" applyFont="1" applyFill="1" applyBorder="1" applyAlignment="1">
      <alignment vertical="top"/>
    </xf>
    <xf numFmtId="192" fontId="67" fillId="71" borderId="65" xfId="1" applyNumberFormat="1" applyFont="1" applyFill="1" applyBorder="1" applyAlignment="1">
      <alignment vertical="top"/>
    </xf>
    <xf numFmtId="196" fontId="67" fillId="75" borderId="61" xfId="1" applyNumberFormat="1" applyFont="1" applyFill="1" applyBorder="1" applyAlignment="1">
      <alignment vertical="top"/>
    </xf>
    <xf numFmtId="192" fontId="75" fillId="75" borderId="65" xfId="1" applyNumberFormat="1" applyFont="1" applyFill="1" applyBorder="1" applyAlignment="1">
      <alignment vertical="top"/>
    </xf>
    <xf numFmtId="203" fontId="75" fillId="71" borderId="61" xfId="1" applyNumberFormat="1" applyFont="1" applyFill="1" applyBorder="1" applyAlignment="1">
      <alignment vertical="top"/>
    </xf>
    <xf numFmtId="192" fontId="75" fillId="75" borderId="61" xfId="1" applyNumberFormat="1" applyFont="1" applyFill="1" applyBorder="1" applyAlignment="1">
      <alignment vertical="top"/>
    </xf>
    <xf numFmtId="197" fontId="75" fillId="71" borderId="61" xfId="1" applyNumberFormat="1" applyFont="1" applyFill="1" applyBorder="1" applyAlignment="1">
      <alignment vertical="top"/>
    </xf>
    <xf numFmtId="196" fontId="67" fillId="71" borderId="61" xfId="1" applyNumberFormat="1" applyFont="1" applyFill="1" applyBorder="1" applyAlignment="1">
      <alignment vertical="top"/>
    </xf>
    <xf numFmtId="202" fontId="67" fillId="71" borderId="61" xfId="1" applyNumberFormat="1" applyFont="1" applyFill="1" applyBorder="1" applyAlignment="1">
      <alignment vertical="top"/>
    </xf>
    <xf numFmtId="202" fontId="75" fillId="71" borderId="61" xfId="1" applyNumberFormat="1" applyFont="1" applyFill="1" applyBorder="1" applyAlignment="1">
      <alignment vertical="top"/>
    </xf>
    <xf numFmtId="202" fontId="67" fillId="75" borderId="65" xfId="1" applyNumberFormat="1" applyFont="1" applyFill="1" applyBorder="1" applyAlignment="1">
      <alignment vertical="top"/>
    </xf>
    <xf numFmtId="202" fontId="67" fillId="75" borderId="61" xfId="1" applyNumberFormat="1" applyFont="1" applyFill="1" applyBorder="1" applyAlignment="1">
      <alignment vertical="top"/>
    </xf>
    <xf numFmtId="202" fontId="75" fillId="75" borderId="61" xfId="1" applyNumberFormat="1" applyFont="1" applyFill="1" applyBorder="1" applyAlignment="1">
      <alignment vertical="top"/>
    </xf>
    <xf numFmtId="202" fontId="67" fillId="71" borderId="65" xfId="1" applyNumberFormat="1" applyFont="1" applyFill="1" applyBorder="1" applyAlignment="1">
      <alignment vertical="top"/>
    </xf>
    <xf numFmtId="204" fontId="67" fillId="0" borderId="46" xfId="1" applyNumberFormat="1" applyFont="1" applyBorder="1" applyAlignment="1">
      <alignment vertical="top"/>
    </xf>
    <xf numFmtId="204" fontId="67" fillId="0" borderId="0" xfId="1" applyNumberFormat="1" applyFont="1" applyAlignment="1">
      <alignment vertical="top"/>
    </xf>
    <xf numFmtId="204" fontId="67" fillId="0" borderId="46" xfId="2842" applyNumberFormat="1" applyFont="1" applyBorder="1" applyAlignment="1">
      <alignment horizontal="center" vertical="top"/>
    </xf>
    <xf numFmtId="204" fontId="67" fillId="0" borderId="0" xfId="0" applyNumberFormat="1" applyFont="1" applyAlignment="1">
      <alignment vertical="top"/>
    </xf>
    <xf numFmtId="204" fontId="67" fillId="0" borderId="61" xfId="1" applyNumberFormat="1" applyFont="1" applyBorder="1" applyAlignment="1">
      <alignment vertical="top"/>
    </xf>
    <xf numFmtId="204" fontId="67" fillId="0" borderId="0" xfId="2842" applyNumberFormat="1" applyFont="1" applyAlignment="1">
      <alignment vertical="top"/>
    </xf>
    <xf numFmtId="204" fontId="67" fillId="0" borderId="0" xfId="1" applyNumberFormat="1" applyFont="1" applyAlignment="1">
      <alignment horizontal="center" vertical="top"/>
    </xf>
    <xf numFmtId="192" fontId="67" fillId="75" borderId="65" xfId="1" applyNumberFormat="1" applyFont="1" applyFill="1" applyBorder="1" applyAlignment="1">
      <alignment vertical="top"/>
    </xf>
    <xf numFmtId="196" fontId="75" fillId="0" borderId="61" xfId="1" applyNumberFormat="1" applyFont="1" applyBorder="1" applyAlignment="1">
      <alignment vertical="top"/>
    </xf>
    <xf numFmtId="197" fontId="67" fillId="0" borderId="61" xfId="1" applyNumberFormat="1" applyFont="1" applyBorder="1" applyAlignment="1">
      <alignment vertical="top"/>
    </xf>
    <xf numFmtId="196" fontId="67" fillId="0" borderId="61" xfId="1" applyNumberFormat="1" applyFont="1" applyBorder="1" applyAlignment="1">
      <alignment vertical="top"/>
    </xf>
    <xf numFmtId="197" fontId="75" fillId="0" borderId="61" xfId="1" applyNumberFormat="1" applyFont="1" applyBorder="1" applyAlignment="1">
      <alignment vertical="top"/>
    </xf>
    <xf numFmtId="193" fontId="75" fillId="0" borderId="0" xfId="1" applyNumberFormat="1" applyFont="1" applyAlignment="1">
      <alignment horizontal="left" vertical="top"/>
    </xf>
    <xf numFmtId="49" fontId="75" fillId="0" borderId="0" xfId="0" applyNumberFormat="1" applyFont="1" applyAlignment="1">
      <alignment horizontal="left" vertical="top"/>
    </xf>
    <xf numFmtId="193" fontId="75" fillId="74" borderId="0" xfId="1" applyNumberFormat="1" applyFont="1" applyFill="1" applyAlignment="1">
      <alignment horizontal="left" vertical="top"/>
    </xf>
    <xf numFmtId="49" fontId="75" fillId="74" borderId="0" xfId="0" applyNumberFormat="1" applyFont="1" applyFill="1" applyAlignment="1">
      <alignment horizontal="left" vertical="top"/>
    </xf>
    <xf numFmtId="192" fontId="75" fillId="74" borderId="0" xfId="1" applyNumberFormat="1" applyFont="1" applyFill="1" applyAlignment="1">
      <alignment vertical="top"/>
    </xf>
    <xf numFmtId="9" fontId="75" fillId="74" borderId="0" xfId="2842" applyFont="1" applyFill="1" applyAlignment="1">
      <alignment vertical="top"/>
    </xf>
    <xf numFmtId="166" fontId="75" fillId="74" borderId="0" xfId="1" applyFont="1" applyFill="1" applyAlignment="1">
      <alignment horizontal="center" vertical="top"/>
    </xf>
    <xf numFmtId="166" fontId="75" fillId="74" borderId="0" xfId="1" applyFont="1" applyFill="1" applyAlignment="1">
      <alignment vertical="top"/>
    </xf>
    <xf numFmtId="195" fontId="75" fillId="74" borderId="0" xfId="1" applyNumberFormat="1" applyFont="1" applyFill="1" applyAlignment="1">
      <alignment vertical="top"/>
    </xf>
    <xf numFmtId="49" fontId="78" fillId="0" borderId="0" xfId="1" applyNumberFormat="1" applyFont="1" applyAlignment="1">
      <alignment horizontal="left" vertical="top"/>
    </xf>
    <xf numFmtId="197" fontId="67" fillId="0" borderId="0" xfId="0" applyNumberFormat="1" applyFont="1" applyAlignment="1">
      <alignment horizontal="center" vertical="center"/>
    </xf>
    <xf numFmtId="192" fontId="75" fillId="0" borderId="0" xfId="1" applyNumberFormat="1" applyFont="1" applyAlignment="1">
      <alignment horizontal="center" vertical="center"/>
    </xf>
    <xf numFmtId="193" fontId="79" fillId="0" borderId="69" xfId="1" applyNumberFormat="1" applyFont="1" applyBorder="1" applyAlignment="1">
      <alignment horizontal="center" vertical="center"/>
    </xf>
    <xf numFmtId="49" fontId="79" fillId="0" borderId="69" xfId="0" applyNumberFormat="1" applyFont="1" applyBorder="1" applyAlignment="1">
      <alignment horizontal="center" vertical="center"/>
    </xf>
    <xf numFmtId="0" fontId="79" fillId="0" borderId="69" xfId="0" applyFont="1" applyBorder="1" applyAlignment="1">
      <alignment horizontal="center" vertical="center"/>
    </xf>
    <xf numFmtId="197" fontId="79" fillId="0" borderId="69" xfId="0" applyNumberFormat="1" applyFont="1" applyBorder="1" applyAlignment="1">
      <alignment horizontal="center" vertical="center"/>
    </xf>
    <xf numFmtId="9" fontId="79" fillId="0" borderId="69" xfId="2842" applyFont="1" applyBorder="1" applyAlignment="1">
      <alignment horizontal="center" vertical="center"/>
    </xf>
    <xf numFmtId="192" fontId="79" fillId="0" borderId="69" xfId="1" applyNumberFormat="1" applyFont="1" applyBorder="1" applyAlignment="1">
      <alignment horizontal="center" vertical="center"/>
    </xf>
    <xf numFmtId="197" fontId="79" fillId="0" borderId="69" xfId="1" applyNumberFormat="1" applyFont="1" applyBorder="1" applyAlignment="1">
      <alignment horizontal="center" vertical="center"/>
    </xf>
    <xf numFmtId="166" fontId="79" fillId="0" borderId="69" xfId="1" applyFont="1" applyBorder="1" applyAlignment="1">
      <alignment horizontal="center" vertical="center"/>
    </xf>
    <xf numFmtId="195" fontId="79" fillId="0" borderId="69" xfId="1" applyNumberFormat="1" applyFont="1" applyBorder="1" applyAlignment="1">
      <alignment horizontal="center" vertical="center"/>
    </xf>
    <xf numFmtId="49" fontId="79" fillId="0" borderId="69" xfId="1" applyNumberFormat="1" applyFont="1" applyBorder="1" applyAlignment="1">
      <alignment horizontal="center" vertical="center"/>
    </xf>
    <xf numFmtId="197" fontId="67" fillId="74" borderId="0" xfId="0" applyNumberFormat="1" applyFont="1" applyFill="1" applyAlignment="1">
      <alignment vertical="top"/>
    </xf>
    <xf numFmtId="197" fontId="67" fillId="74" borderId="0" xfId="1" applyNumberFormat="1" applyFont="1" applyFill="1" applyAlignment="1">
      <alignment vertical="top"/>
    </xf>
    <xf numFmtId="195" fontId="67" fillId="74" borderId="0" xfId="1" applyNumberFormat="1" applyFont="1" applyFill="1" applyAlignment="1">
      <alignment vertical="top"/>
    </xf>
    <xf numFmtId="49" fontId="67" fillId="74" borderId="0" xfId="1" applyNumberFormat="1" applyFont="1" applyFill="1" applyAlignment="1">
      <alignment horizontal="left" vertical="center" wrapText="1"/>
    </xf>
    <xf numFmtId="49" fontId="67" fillId="0" borderId="0" xfId="1" applyNumberFormat="1" applyFont="1" applyAlignment="1">
      <alignment horizontal="left" vertical="center" wrapText="1"/>
    </xf>
    <xf numFmtId="197" fontId="75" fillId="74" borderId="0" xfId="0" applyNumberFormat="1" applyFont="1" applyFill="1" applyAlignment="1">
      <alignment vertical="top"/>
    </xf>
    <xf numFmtId="197" fontId="75" fillId="74" borderId="0" xfId="1" applyNumberFormat="1" applyFont="1" applyFill="1" applyAlignment="1">
      <alignment vertical="top"/>
    </xf>
    <xf numFmtId="49" fontId="75" fillId="74" borderId="0" xfId="1" applyNumberFormat="1" applyFont="1" applyFill="1" applyAlignment="1">
      <alignment horizontal="left" vertical="center" wrapText="1"/>
    </xf>
    <xf numFmtId="193" fontId="75" fillId="0" borderId="62" xfId="1" applyNumberFormat="1" applyFont="1" applyBorder="1" applyAlignment="1">
      <alignment horizontal="left" vertical="top"/>
    </xf>
    <xf numFmtId="49" fontId="75" fillId="0" borderId="62" xfId="0" applyNumberFormat="1" applyFont="1" applyBorder="1" applyAlignment="1">
      <alignment horizontal="left" vertical="top"/>
    </xf>
    <xf numFmtId="197" fontId="67" fillId="0" borderId="62" xfId="0" applyNumberFormat="1" applyFont="1" applyBorder="1" applyAlignment="1">
      <alignment vertical="top"/>
    </xf>
    <xf numFmtId="9" fontId="75" fillId="0" borderId="62" xfId="2842" applyFont="1" applyBorder="1" applyAlignment="1">
      <alignment vertical="top"/>
    </xf>
    <xf numFmtId="197" fontId="67" fillId="0" borderId="62" xfId="1" applyNumberFormat="1" applyFont="1" applyBorder="1" applyAlignment="1">
      <alignment vertical="top"/>
    </xf>
    <xf numFmtId="166" fontId="75" fillId="0" borderId="62" xfId="1" applyFont="1" applyBorder="1" applyAlignment="1">
      <alignment vertical="top"/>
    </xf>
    <xf numFmtId="166" fontId="75" fillId="0" borderId="62" xfId="1" applyFont="1" applyBorder="1" applyAlignment="1">
      <alignment horizontal="center" vertical="top"/>
    </xf>
    <xf numFmtId="192" fontId="75" fillId="0" borderId="62" xfId="1" applyNumberFormat="1" applyFont="1" applyBorder="1" applyAlignment="1">
      <alignment vertical="top"/>
    </xf>
    <xf numFmtId="195" fontId="75" fillId="0" borderId="62" xfId="1" applyNumberFormat="1" applyFont="1" applyBorder="1" applyAlignment="1">
      <alignment vertical="top"/>
    </xf>
    <xf numFmtId="195" fontId="67" fillId="0" borderId="62" xfId="1" applyNumberFormat="1" applyFont="1" applyBorder="1" applyAlignment="1">
      <alignment vertical="top"/>
    </xf>
    <xf numFmtId="49" fontId="67" fillId="0" borderId="62" xfId="1" applyNumberFormat="1" applyFont="1" applyBorder="1" applyAlignment="1">
      <alignment horizontal="left" vertical="center" wrapText="1"/>
    </xf>
    <xf numFmtId="0" fontId="75" fillId="74" borderId="0" xfId="0" applyFont="1" applyFill="1" applyAlignment="1">
      <alignment horizontal="center" vertical="center"/>
    </xf>
    <xf numFmtId="197" fontId="67" fillId="74" borderId="0" xfId="0" applyNumberFormat="1" applyFont="1" applyFill="1" applyAlignment="1">
      <alignment horizontal="center" vertical="center"/>
    </xf>
    <xf numFmtId="9" fontId="75" fillId="74" borderId="0" xfId="2842" applyFont="1" applyFill="1" applyAlignment="1">
      <alignment horizontal="center" vertical="center"/>
    </xf>
    <xf numFmtId="192" fontId="75" fillId="74" borderId="0" xfId="1" applyNumberFormat="1" applyFont="1" applyFill="1" applyAlignment="1">
      <alignment horizontal="center" vertical="center"/>
    </xf>
    <xf numFmtId="197" fontId="75" fillId="74" borderId="0" xfId="0" applyNumberFormat="1" applyFont="1" applyFill="1" applyAlignment="1">
      <alignment horizontal="center" vertical="center"/>
    </xf>
    <xf numFmtId="0" fontId="75" fillId="0" borderId="62" xfId="0" applyFont="1" applyBorder="1" applyAlignment="1">
      <alignment horizontal="center" vertical="center"/>
    </xf>
    <xf numFmtId="197" fontId="67" fillId="0" borderId="62" xfId="0" applyNumberFormat="1" applyFont="1" applyBorder="1" applyAlignment="1">
      <alignment horizontal="center" vertical="center"/>
    </xf>
    <xf numFmtId="9" fontId="75" fillId="0" borderId="62" xfId="2842" applyFont="1" applyBorder="1" applyAlignment="1">
      <alignment horizontal="center" vertical="center"/>
    </xf>
    <xf numFmtId="192" fontId="75" fillId="0" borderId="62" xfId="1" applyNumberFormat="1" applyFont="1" applyBorder="1" applyAlignment="1">
      <alignment horizontal="center" vertical="center"/>
    </xf>
    <xf numFmtId="193" fontId="15" fillId="0" borderId="0" xfId="1" applyNumberFormat="1" applyFont="1" applyAlignment="1">
      <alignment horizontal="left" vertical="top"/>
    </xf>
    <xf numFmtId="0" fontId="79" fillId="0" borderId="0" xfId="0" applyFont="1" applyAlignment="1" applyProtection="1">
      <alignment horizontal="left" vertical="center"/>
      <protection hidden="1"/>
    </xf>
    <xf numFmtId="197" fontId="84" fillId="0" borderId="0" xfId="0" applyNumberFormat="1" applyFont="1" applyAlignment="1" applyProtection="1">
      <alignment horizontal="left" vertical="center"/>
      <protection hidden="1"/>
    </xf>
    <xf numFmtId="9" fontId="79" fillId="0" borderId="0" xfId="2842" applyFont="1" applyAlignment="1" applyProtection="1">
      <alignment horizontal="left" vertical="center"/>
      <protection hidden="1"/>
    </xf>
    <xf numFmtId="192" fontId="79" fillId="0" borderId="0" xfId="1" applyNumberFormat="1" applyFont="1" applyAlignment="1" applyProtection="1">
      <alignment horizontal="left" vertical="center"/>
      <protection hidden="1"/>
    </xf>
    <xf numFmtId="10" fontId="79" fillId="0" borderId="0" xfId="2842" applyNumberFormat="1" applyFont="1" applyAlignment="1" applyProtection="1">
      <alignment horizontal="left" vertical="center"/>
      <protection hidden="1"/>
    </xf>
    <xf numFmtId="49" fontId="79" fillId="0" borderId="0" xfId="1" applyNumberFormat="1" applyFont="1" applyAlignment="1" applyProtection="1">
      <alignment horizontal="left" vertical="center"/>
      <protection hidden="1"/>
    </xf>
    <xf numFmtId="185" fontId="79" fillId="0" borderId="0" xfId="1" applyNumberFormat="1" applyFont="1" applyAlignment="1" applyProtection="1">
      <alignment horizontal="left" vertical="center"/>
      <protection hidden="1"/>
    </xf>
    <xf numFmtId="166" fontId="79" fillId="0" borderId="0" xfId="1" applyFont="1" applyAlignment="1" applyProtection="1">
      <alignment horizontal="left" vertical="center"/>
      <protection hidden="1"/>
    </xf>
    <xf numFmtId="195" fontId="79" fillId="0" borderId="0" xfId="1" applyNumberFormat="1" applyFont="1" applyAlignment="1" applyProtection="1">
      <alignment horizontal="left" vertical="center"/>
      <protection hidden="1"/>
    </xf>
    <xf numFmtId="195" fontId="84" fillId="0" borderId="0" xfId="1" applyNumberFormat="1" applyFont="1" applyAlignment="1" applyProtection="1">
      <alignment horizontal="left" vertical="center"/>
      <protection hidden="1"/>
    </xf>
    <xf numFmtId="49" fontId="79" fillId="0" borderId="63" xfId="0" applyNumberFormat="1" applyFont="1" applyBorder="1" applyAlignment="1" applyProtection="1">
      <alignment horizontal="left" vertical="center"/>
      <protection hidden="1"/>
    </xf>
    <xf numFmtId="49" fontId="79" fillId="0" borderId="71" xfId="0" applyNumberFormat="1" applyFont="1" applyBorder="1" applyAlignment="1" applyProtection="1">
      <alignment horizontal="left" vertical="center"/>
      <protection hidden="1"/>
    </xf>
    <xf numFmtId="0" fontId="79" fillId="0" borderId="70" xfId="0" applyFont="1" applyBorder="1" applyAlignment="1" applyProtection="1">
      <alignment horizontal="left" vertical="center"/>
      <protection hidden="1"/>
    </xf>
    <xf numFmtId="197" fontId="84" fillId="0" borderId="70" xfId="0" applyNumberFormat="1" applyFont="1" applyBorder="1" applyAlignment="1" applyProtection="1">
      <alignment horizontal="left" vertical="center"/>
      <protection hidden="1"/>
    </xf>
    <xf numFmtId="9" fontId="79" fillId="0" borderId="70" xfId="2842" applyFont="1" applyBorder="1" applyAlignment="1" applyProtection="1">
      <alignment horizontal="left" vertical="center"/>
      <protection hidden="1"/>
    </xf>
    <xf numFmtId="192" fontId="79" fillId="0" borderId="70" xfId="1" applyNumberFormat="1" applyFont="1" applyBorder="1" applyAlignment="1" applyProtection="1">
      <alignment horizontal="left" vertical="center"/>
      <protection hidden="1"/>
    </xf>
    <xf numFmtId="10" fontId="79" fillId="0" borderId="70" xfId="2842" applyNumberFormat="1" applyFont="1" applyBorder="1" applyAlignment="1" applyProtection="1">
      <alignment horizontal="left" vertical="center"/>
      <protection hidden="1"/>
    </xf>
    <xf numFmtId="49" fontId="79" fillId="0" borderId="70" xfId="1" applyNumberFormat="1" applyFont="1" applyBorder="1" applyAlignment="1" applyProtection="1">
      <alignment horizontal="left" vertical="center"/>
      <protection hidden="1"/>
    </xf>
    <xf numFmtId="185" fontId="79" fillId="0" borderId="70" xfId="1" applyNumberFormat="1" applyFont="1" applyBorder="1" applyAlignment="1" applyProtection="1">
      <alignment horizontal="left" vertical="center"/>
      <protection hidden="1"/>
    </xf>
    <xf numFmtId="197" fontId="84" fillId="0" borderId="70" xfId="1" applyNumberFormat="1" applyFont="1" applyBorder="1" applyAlignment="1" applyProtection="1">
      <alignment horizontal="left" vertical="center"/>
      <protection hidden="1"/>
    </xf>
    <xf numFmtId="166" fontId="79" fillId="0" borderId="70" xfId="1" applyFont="1" applyBorder="1" applyAlignment="1" applyProtection="1">
      <alignment horizontal="left" vertical="center"/>
      <protection hidden="1"/>
    </xf>
    <xf numFmtId="195" fontId="79" fillId="0" borderId="70" xfId="1" applyNumberFormat="1" applyFont="1" applyBorder="1" applyAlignment="1" applyProtection="1">
      <alignment horizontal="left" vertical="center"/>
      <protection hidden="1"/>
    </xf>
    <xf numFmtId="195" fontId="84" fillId="0" borderId="70" xfId="1" applyNumberFormat="1" applyFont="1" applyBorder="1" applyAlignment="1" applyProtection="1">
      <alignment horizontal="left" vertical="center"/>
      <protection hidden="1"/>
    </xf>
    <xf numFmtId="49" fontId="84" fillId="0" borderId="70" xfId="1" applyNumberFormat="1" applyFont="1" applyBorder="1" applyAlignment="1" applyProtection="1">
      <alignment horizontal="left" vertical="center"/>
      <protection hidden="1"/>
    </xf>
    <xf numFmtId="49" fontId="79" fillId="0" borderId="38" xfId="0" applyNumberFormat="1" applyFont="1" applyBorder="1" applyAlignment="1" applyProtection="1">
      <alignment horizontal="left" vertical="center"/>
      <protection hidden="1"/>
    </xf>
    <xf numFmtId="0" fontId="79" fillId="0" borderId="62" xfId="0" applyFont="1" applyBorder="1" applyAlignment="1" applyProtection="1">
      <alignment horizontal="left" vertical="center"/>
      <protection hidden="1"/>
    </xf>
    <xf numFmtId="197" fontId="84" fillId="0" borderId="62" xfId="0" applyNumberFormat="1" applyFont="1" applyBorder="1" applyAlignment="1" applyProtection="1">
      <alignment horizontal="left" vertical="center"/>
      <protection hidden="1"/>
    </xf>
    <xf numFmtId="9" fontId="79" fillId="0" borderId="62" xfId="2842" applyFont="1" applyBorder="1" applyAlignment="1" applyProtection="1">
      <alignment horizontal="left" vertical="center"/>
      <protection hidden="1"/>
    </xf>
    <xf numFmtId="192" fontId="79" fillId="0" borderId="62" xfId="1" applyNumberFormat="1" applyFont="1" applyBorder="1" applyAlignment="1" applyProtection="1">
      <alignment horizontal="left" vertical="center"/>
      <protection hidden="1"/>
    </xf>
    <xf numFmtId="10" fontId="79" fillId="0" borderId="62" xfId="2842" applyNumberFormat="1" applyFont="1" applyBorder="1" applyAlignment="1" applyProtection="1">
      <alignment horizontal="left" vertical="center"/>
      <protection hidden="1"/>
    </xf>
    <xf numFmtId="49" fontId="79" fillId="0" borderId="62" xfId="1" applyNumberFormat="1" applyFont="1" applyBorder="1" applyAlignment="1" applyProtection="1">
      <alignment horizontal="left" vertical="center"/>
      <protection hidden="1"/>
    </xf>
    <xf numFmtId="185" fontId="79" fillId="0" borderId="62" xfId="1" applyNumberFormat="1" applyFont="1" applyBorder="1" applyAlignment="1" applyProtection="1">
      <alignment horizontal="left" vertical="center"/>
      <protection hidden="1"/>
    </xf>
    <xf numFmtId="166" fontId="79" fillId="0" borderId="62" xfId="1" applyFont="1" applyBorder="1" applyAlignment="1" applyProtection="1">
      <alignment horizontal="left" vertical="center"/>
      <protection hidden="1"/>
    </xf>
    <xf numFmtId="195" fontId="79" fillId="0" borderId="62" xfId="1" applyNumberFormat="1" applyFont="1" applyBorder="1" applyAlignment="1" applyProtection="1">
      <alignment horizontal="left" vertical="center"/>
      <protection hidden="1"/>
    </xf>
    <xf numFmtId="195" fontId="84" fillId="0" borderId="62" xfId="1" applyNumberFormat="1" applyFont="1" applyBorder="1" applyAlignment="1" applyProtection="1">
      <alignment horizontal="left" vertical="center"/>
      <protection hidden="1"/>
    </xf>
    <xf numFmtId="49" fontId="84" fillId="0" borderId="72" xfId="1" applyNumberFormat="1" applyFont="1" applyBorder="1" applyAlignment="1" applyProtection="1">
      <alignment horizontal="left" vertical="center"/>
      <protection hidden="1"/>
    </xf>
    <xf numFmtId="49" fontId="84" fillId="0" borderId="73" xfId="1" applyNumberFormat="1" applyFont="1" applyBorder="1" applyAlignment="1" applyProtection="1">
      <alignment horizontal="left" vertical="center"/>
      <protection hidden="1"/>
    </xf>
    <xf numFmtId="166" fontId="84" fillId="0" borderId="74" xfId="1" applyFont="1" applyBorder="1" applyAlignment="1" applyProtection="1">
      <alignment horizontal="left" vertical="center"/>
      <protection hidden="1"/>
    </xf>
    <xf numFmtId="197" fontId="84" fillId="0" borderId="74" xfId="1" applyNumberFormat="1" applyFont="1" applyBorder="1" applyAlignment="1" applyProtection="1">
      <alignment horizontal="left" vertical="center"/>
      <protection hidden="1"/>
    </xf>
    <xf numFmtId="9" fontId="84" fillId="0" borderId="74" xfId="2842" applyFont="1" applyBorder="1" applyAlignment="1" applyProtection="1">
      <alignment horizontal="left" vertical="center"/>
      <protection hidden="1"/>
    </xf>
    <xf numFmtId="49" fontId="70" fillId="0" borderId="74" xfId="0" applyNumberFormat="1" applyFont="1" applyBorder="1" applyAlignment="1" applyProtection="1">
      <alignment horizontal="left" vertical="center"/>
      <protection hidden="1"/>
    </xf>
    <xf numFmtId="185" fontId="84" fillId="0" borderId="74" xfId="1" applyNumberFormat="1" applyFont="1" applyBorder="1" applyAlignment="1" applyProtection="1">
      <alignment horizontal="left" vertical="center"/>
      <protection hidden="1"/>
    </xf>
    <xf numFmtId="49" fontId="84" fillId="0" borderId="74" xfId="1" applyNumberFormat="1" applyFont="1" applyBorder="1" applyAlignment="1" applyProtection="1">
      <alignment horizontal="left" vertical="center"/>
      <protection hidden="1"/>
    </xf>
    <xf numFmtId="49" fontId="84" fillId="0" borderId="75" xfId="1" applyNumberFormat="1" applyFont="1" applyBorder="1" applyAlignment="1" applyProtection="1">
      <alignment horizontal="left" vertical="center"/>
      <protection hidden="1"/>
    </xf>
    <xf numFmtId="0" fontId="4" fillId="73" borderId="55" xfId="0" applyFont="1" applyFill="1" applyBorder="1" applyAlignment="1">
      <alignment horizontal="center" vertical="center" wrapText="1"/>
    </xf>
    <xf numFmtId="0" fontId="4" fillId="73" borderId="15" xfId="0" applyFont="1" applyFill="1" applyBorder="1" applyAlignment="1">
      <alignment horizontal="center" vertical="center"/>
    </xf>
    <xf numFmtId="0" fontId="4" fillId="73" borderId="56" xfId="0" applyFont="1" applyFill="1" applyBorder="1" applyAlignment="1">
      <alignment horizontal="center" vertical="center"/>
    </xf>
    <xf numFmtId="0" fontId="70" fillId="72" borderId="21" xfId="0" applyFont="1" applyFill="1" applyBorder="1" applyAlignment="1">
      <alignment horizontal="center" vertical="center"/>
    </xf>
    <xf numFmtId="49" fontId="79" fillId="0" borderId="0" xfId="1" applyNumberFormat="1" applyFont="1" applyAlignment="1">
      <alignment horizontal="left" vertical="center"/>
    </xf>
    <xf numFmtId="0" fontId="81" fillId="0" borderId="0" xfId="0" applyFont="1" applyAlignment="1">
      <alignment horizontal="left" vertical="center"/>
    </xf>
    <xf numFmtId="201" fontId="68" fillId="0" borderId="0" xfId="1" applyNumberFormat="1" applyFont="1" applyAlignment="1">
      <alignment horizontal="right"/>
    </xf>
    <xf numFmtId="199" fontId="75" fillId="0" borderId="42" xfId="1" applyNumberFormat="1" applyFont="1" applyBorder="1" applyAlignment="1">
      <alignment horizontal="center" vertical="center"/>
    </xf>
    <xf numFmtId="185" fontId="75" fillId="0" borderId="0" xfId="1" applyNumberFormat="1" applyFont="1" applyAlignment="1">
      <alignment horizontal="center" vertical="center"/>
    </xf>
    <xf numFmtId="190" fontId="75" fillId="0" borderId="42" xfId="1" applyNumberFormat="1" applyFont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198" fontId="75" fillId="0" borderId="44" xfId="1" applyNumberFormat="1" applyFont="1" applyBorder="1" applyAlignment="1">
      <alignment horizontal="center" vertical="center"/>
    </xf>
    <xf numFmtId="49" fontId="81" fillId="0" borderId="0" xfId="0" applyNumberFormat="1" applyFont="1" applyAlignment="1">
      <alignment horizontal="left" vertical="center"/>
    </xf>
    <xf numFmtId="190" fontId="75" fillId="0" borderId="44" xfId="1" applyNumberFormat="1" applyFont="1" applyBorder="1" applyAlignment="1">
      <alignment horizontal="center" vertical="center"/>
    </xf>
    <xf numFmtId="201" fontId="79" fillId="0" borderId="0" xfId="1" applyNumberFormat="1" applyFont="1" applyAlignment="1">
      <alignment horizontal="right"/>
    </xf>
    <xf numFmtId="190" fontId="75" fillId="0" borderId="50" xfId="1" applyNumberFormat="1" applyFont="1" applyBorder="1" applyAlignment="1">
      <alignment horizontal="center" vertical="center"/>
    </xf>
    <xf numFmtId="185" fontId="75" fillId="0" borderId="44" xfId="1" applyNumberFormat="1" applyFont="1" applyBorder="1" applyAlignment="1">
      <alignment horizontal="center" vertical="center"/>
    </xf>
    <xf numFmtId="1" fontId="75" fillId="0" borderId="44" xfId="1" applyNumberFormat="1" applyFont="1" applyBorder="1" applyAlignment="1">
      <alignment horizontal="center" vertical="center"/>
    </xf>
    <xf numFmtId="1" fontId="75" fillId="0" borderId="42" xfId="1" applyNumberFormat="1" applyFont="1" applyBorder="1" applyAlignment="1">
      <alignment horizontal="center" vertical="center"/>
    </xf>
    <xf numFmtId="197" fontId="79" fillId="0" borderId="69" xfId="0" applyNumberFormat="1" applyFont="1" applyBorder="1" applyAlignment="1">
      <alignment horizontal="center" vertical="center" wrapText="1"/>
    </xf>
    <xf numFmtId="0" fontId="81" fillId="0" borderId="69" xfId="0" applyFont="1" applyBorder="1" applyAlignment="1">
      <alignment horizontal="center" vertical="center" wrapText="1"/>
    </xf>
    <xf numFmtId="49" fontId="67" fillId="74" borderId="70" xfId="0" applyNumberFormat="1" applyFont="1" applyFill="1" applyBorder="1" applyAlignment="1">
      <alignment horizontal="left" vertical="center" wrapText="1"/>
    </xf>
    <xf numFmtId="0" fontId="1" fillId="74" borderId="70" xfId="0" applyFont="1" applyFill="1" applyBorder="1" applyAlignment="1">
      <alignment horizontal="left" vertical="center" wrapText="1"/>
    </xf>
    <xf numFmtId="49" fontId="67" fillId="0" borderId="0" xfId="0" applyNumberFormat="1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49" fontId="67" fillId="74" borderId="0" xfId="0" applyNumberFormat="1" applyFont="1" applyFill="1" applyAlignment="1">
      <alignment horizontal="left" vertical="center" wrapText="1"/>
    </xf>
    <xf numFmtId="0" fontId="1" fillId="74" borderId="0" xfId="0" applyFont="1" applyFill="1" applyAlignment="1">
      <alignment horizontal="left" vertical="center" wrapText="1"/>
    </xf>
    <xf numFmtId="49" fontId="75" fillId="74" borderId="0" xfId="0" applyNumberFormat="1" applyFont="1" applyFill="1" applyAlignment="1">
      <alignment horizontal="left" vertical="center" wrapText="1"/>
    </xf>
    <xf numFmtId="0" fontId="2" fillId="74" borderId="0" xfId="0" applyFont="1" applyFill="1" applyAlignment="1">
      <alignment horizontal="left" vertical="center" wrapText="1"/>
    </xf>
    <xf numFmtId="49" fontId="67" fillId="0" borderId="62" xfId="0" applyNumberFormat="1" applyFont="1" applyBorder="1" applyAlignment="1">
      <alignment horizontal="left" vertical="center" wrapText="1"/>
    </xf>
    <xf numFmtId="0" fontId="1" fillId="0" borderId="62" xfId="0" applyFont="1" applyBorder="1" applyAlignment="1">
      <alignment horizontal="left" vertical="center" wrapText="1"/>
    </xf>
    <xf numFmtId="49" fontId="79" fillId="0" borderId="0" xfId="0" applyNumberFormat="1" applyFont="1" applyAlignment="1">
      <alignment horizontal="left" vertical="center"/>
    </xf>
  </cellXfs>
  <cellStyles count="2844">
    <cellStyle name="_x0004_¥" xfId="34" xr:uid="{00000000-0005-0000-0000-000000000000}"/>
    <cellStyle name="_x0004_¥ 10" xfId="35" xr:uid="{00000000-0005-0000-0000-000001000000}"/>
    <cellStyle name="_x0004_¥ 11" xfId="36" xr:uid="{00000000-0005-0000-0000-000002000000}"/>
    <cellStyle name="_x0004_¥ 12" xfId="37" xr:uid="{00000000-0005-0000-0000-000003000000}"/>
    <cellStyle name="_x0004_¥ 13" xfId="38" xr:uid="{00000000-0005-0000-0000-000004000000}"/>
    <cellStyle name="_x0004_¥ 14" xfId="39" xr:uid="{00000000-0005-0000-0000-000005000000}"/>
    <cellStyle name="_x0004_¥ 15" xfId="40" xr:uid="{00000000-0005-0000-0000-000006000000}"/>
    <cellStyle name="_x0004_¥ 16" xfId="41" xr:uid="{00000000-0005-0000-0000-000007000000}"/>
    <cellStyle name="_x0004_¥ 17" xfId="42" xr:uid="{00000000-0005-0000-0000-000008000000}"/>
    <cellStyle name="_x0004_¥ 18" xfId="43" xr:uid="{00000000-0005-0000-0000-000009000000}"/>
    <cellStyle name="_x0004_¥ 19" xfId="44" xr:uid="{00000000-0005-0000-0000-00000A000000}"/>
    <cellStyle name="_x0004_¥ 2" xfId="45" xr:uid="{00000000-0005-0000-0000-00000B000000}"/>
    <cellStyle name="_x0004_¥ 2 2" xfId="46" xr:uid="{00000000-0005-0000-0000-00000C000000}"/>
    <cellStyle name="_x0004_¥ 2 2 2" xfId="47" xr:uid="{00000000-0005-0000-0000-00000D000000}"/>
    <cellStyle name="_x0004_¥ 2 2 3" xfId="48" xr:uid="{00000000-0005-0000-0000-00000E000000}"/>
    <cellStyle name="_x0004_¥ 2 3" xfId="49" xr:uid="{00000000-0005-0000-0000-00000F000000}"/>
    <cellStyle name="_x0004_¥ 2 4" xfId="50" xr:uid="{00000000-0005-0000-0000-000010000000}"/>
    <cellStyle name="_x0004_¥ 20" xfId="51" xr:uid="{00000000-0005-0000-0000-000011000000}"/>
    <cellStyle name="_x0004_¥ 21" xfId="52" xr:uid="{00000000-0005-0000-0000-000012000000}"/>
    <cellStyle name="_x0004_¥ 22" xfId="53" xr:uid="{00000000-0005-0000-0000-000013000000}"/>
    <cellStyle name="_x0004_¥ 23" xfId="54" xr:uid="{00000000-0005-0000-0000-000014000000}"/>
    <cellStyle name="_x0004_¥ 24" xfId="55" xr:uid="{00000000-0005-0000-0000-000015000000}"/>
    <cellStyle name="_x0004_¥ 25" xfId="56" xr:uid="{00000000-0005-0000-0000-000016000000}"/>
    <cellStyle name="_x0004_¥ 26" xfId="57" xr:uid="{00000000-0005-0000-0000-000017000000}"/>
    <cellStyle name="_x0004_¥ 27" xfId="58" xr:uid="{00000000-0005-0000-0000-000018000000}"/>
    <cellStyle name="_x0004_¥ 28" xfId="59" xr:uid="{00000000-0005-0000-0000-000019000000}"/>
    <cellStyle name="_x0004_¥ 29" xfId="60" xr:uid="{00000000-0005-0000-0000-00001A000000}"/>
    <cellStyle name="_x0004_¥ 3" xfId="61" xr:uid="{00000000-0005-0000-0000-00001B000000}"/>
    <cellStyle name="_x0004_¥ 3 2" xfId="62" xr:uid="{00000000-0005-0000-0000-00001C000000}"/>
    <cellStyle name="_x0004_¥ 3 3" xfId="63" xr:uid="{00000000-0005-0000-0000-00001D000000}"/>
    <cellStyle name="_x0004_¥ 30" xfId="64" xr:uid="{00000000-0005-0000-0000-00001E000000}"/>
    <cellStyle name="_x0004_¥ 31" xfId="65" xr:uid="{00000000-0005-0000-0000-00001F000000}"/>
    <cellStyle name="_x0004_¥ 32" xfId="66" xr:uid="{00000000-0005-0000-0000-000020000000}"/>
    <cellStyle name="_x0004_¥ 33" xfId="67" xr:uid="{00000000-0005-0000-0000-000021000000}"/>
    <cellStyle name="_x0004_¥ 34" xfId="68" xr:uid="{00000000-0005-0000-0000-000022000000}"/>
    <cellStyle name="_x0004_¥ 35" xfId="69" xr:uid="{00000000-0005-0000-0000-000023000000}"/>
    <cellStyle name="_x0004_¥ 36" xfId="70" xr:uid="{00000000-0005-0000-0000-000024000000}"/>
    <cellStyle name="_x0004_¥ 37" xfId="71" xr:uid="{00000000-0005-0000-0000-000025000000}"/>
    <cellStyle name="_x0004_¥ 38" xfId="72" xr:uid="{00000000-0005-0000-0000-000026000000}"/>
    <cellStyle name="_x0004_¥ 39" xfId="73" xr:uid="{00000000-0005-0000-0000-000027000000}"/>
    <cellStyle name="_x0004_¥ 4" xfId="74" xr:uid="{00000000-0005-0000-0000-000028000000}"/>
    <cellStyle name="_x0004_¥ 4 2" xfId="75" xr:uid="{00000000-0005-0000-0000-000029000000}"/>
    <cellStyle name="_x0004_¥ 4 3" xfId="76" xr:uid="{00000000-0005-0000-0000-00002A000000}"/>
    <cellStyle name="_x0004_¥ 40" xfId="77" xr:uid="{00000000-0005-0000-0000-00002B000000}"/>
    <cellStyle name="_x0004_¥ 41" xfId="78" xr:uid="{00000000-0005-0000-0000-00002C000000}"/>
    <cellStyle name="_x0004_¥ 42" xfId="79" xr:uid="{00000000-0005-0000-0000-00002D000000}"/>
    <cellStyle name="_x0004_¥ 43" xfId="80" xr:uid="{00000000-0005-0000-0000-00002E000000}"/>
    <cellStyle name="_x0004_¥ 44" xfId="81" xr:uid="{00000000-0005-0000-0000-00002F000000}"/>
    <cellStyle name="_x0004_¥ 45" xfId="82" xr:uid="{00000000-0005-0000-0000-000030000000}"/>
    <cellStyle name="_x0004_¥ 46" xfId="83" xr:uid="{00000000-0005-0000-0000-000031000000}"/>
    <cellStyle name="_x0004_¥ 47" xfId="84" xr:uid="{00000000-0005-0000-0000-000032000000}"/>
    <cellStyle name="_x0004_¥ 48" xfId="85" xr:uid="{00000000-0005-0000-0000-000033000000}"/>
    <cellStyle name="_x0004_¥ 49" xfId="86" xr:uid="{00000000-0005-0000-0000-000034000000}"/>
    <cellStyle name="_x0004_¥ 5" xfId="87" xr:uid="{00000000-0005-0000-0000-000035000000}"/>
    <cellStyle name="_x0004_¥ 5 2" xfId="88" xr:uid="{00000000-0005-0000-0000-000036000000}"/>
    <cellStyle name="_x0004_¥ 5 3" xfId="89" xr:uid="{00000000-0005-0000-0000-000037000000}"/>
    <cellStyle name="_x0004_¥ 50" xfId="90" xr:uid="{00000000-0005-0000-0000-000038000000}"/>
    <cellStyle name="_x0004_¥ 51" xfId="91" xr:uid="{00000000-0005-0000-0000-000039000000}"/>
    <cellStyle name="_x0004_¥ 52" xfId="92" xr:uid="{00000000-0005-0000-0000-00003A000000}"/>
    <cellStyle name="_x0004_¥ 6" xfId="93" xr:uid="{00000000-0005-0000-0000-00003B000000}"/>
    <cellStyle name="_x0004_¥ 6 2" xfId="94" xr:uid="{00000000-0005-0000-0000-00003C000000}"/>
    <cellStyle name="_x0004_¥ 6 3" xfId="95" xr:uid="{00000000-0005-0000-0000-00003D000000}"/>
    <cellStyle name="_x0004_¥ 7" xfId="96" xr:uid="{00000000-0005-0000-0000-00003E000000}"/>
    <cellStyle name="_x0004_¥ 8" xfId="97" xr:uid="{00000000-0005-0000-0000-00003F000000}"/>
    <cellStyle name="_x0004_¥ 9" xfId="98" xr:uid="{00000000-0005-0000-0000-000040000000}"/>
    <cellStyle name="_x0004_¥_&quot;Cu&quot; Avance Mensual" xfId="99" xr:uid="{00000000-0005-0000-0000-000041000000}"/>
    <cellStyle name="20% - Accent1" xfId="11" xr:uid="{00000000-0005-0000-0000-000042000000}"/>
    <cellStyle name="20% - Accent1 2" xfId="100" xr:uid="{00000000-0005-0000-0000-000043000000}"/>
    <cellStyle name="20% - Accent1 2 2" xfId="101" xr:uid="{00000000-0005-0000-0000-000044000000}"/>
    <cellStyle name="20% - Accent1 2 2 2" xfId="102" xr:uid="{00000000-0005-0000-0000-000045000000}"/>
    <cellStyle name="20% - Accent1 2 3" xfId="103" xr:uid="{00000000-0005-0000-0000-000046000000}"/>
    <cellStyle name="20% - Accent1 2 3 2" xfId="104" xr:uid="{00000000-0005-0000-0000-000047000000}"/>
    <cellStyle name="20% - Accent1 2 4" xfId="105" xr:uid="{00000000-0005-0000-0000-000048000000}"/>
    <cellStyle name="20% - Accent1 3" xfId="106" xr:uid="{00000000-0005-0000-0000-000049000000}"/>
    <cellStyle name="20% - Accent1 3 2" xfId="107" xr:uid="{00000000-0005-0000-0000-00004A000000}"/>
    <cellStyle name="20% - Accent1 4" xfId="108" xr:uid="{00000000-0005-0000-0000-00004B000000}"/>
    <cellStyle name="20% - Accent1 4 2" xfId="109" xr:uid="{00000000-0005-0000-0000-00004C000000}"/>
    <cellStyle name="20% - Accent1 5" xfId="110" xr:uid="{00000000-0005-0000-0000-00004D000000}"/>
    <cellStyle name="20% - Accent1_Cálculo de Beneficios Sociales" xfId="111" xr:uid="{00000000-0005-0000-0000-00004E000000}"/>
    <cellStyle name="20% - Accent2" xfId="15" xr:uid="{00000000-0005-0000-0000-00004F000000}"/>
    <cellStyle name="20% - Accent2 2" xfId="112" xr:uid="{00000000-0005-0000-0000-000050000000}"/>
    <cellStyle name="20% - Accent2 2 2" xfId="113" xr:uid="{00000000-0005-0000-0000-000051000000}"/>
    <cellStyle name="20% - Accent2 2 2 2" xfId="114" xr:uid="{00000000-0005-0000-0000-000052000000}"/>
    <cellStyle name="20% - Accent2 2 3" xfId="115" xr:uid="{00000000-0005-0000-0000-000053000000}"/>
    <cellStyle name="20% - Accent2 2 3 2" xfId="116" xr:uid="{00000000-0005-0000-0000-000054000000}"/>
    <cellStyle name="20% - Accent2 2 4" xfId="117" xr:uid="{00000000-0005-0000-0000-000055000000}"/>
    <cellStyle name="20% - Accent2 3" xfId="118" xr:uid="{00000000-0005-0000-0000-000056000000}"/>
    <cellStyle name="20% - Accent2 3 2" xfId="119" xr:uid="{00000000-0005-0000-0000-000057000000}"/>
    <cellStyle name="20% - Accent2 4" xfId="120" xr:uid="{00000000-0005-0000-0000-000058000000}"/>
    <cellStyle name="20% - Accent2 4 2" xfId="121" xr:uid="{00000000-0005-0000-0000-000059000000}"/>
    <cellStyle name="20% - Accent2 5" xfId="122" xr:uid="{00000000-0005-0000-0000-00005A000000}"/>
    <cellStyle name="20% - Accent2_Cálculo de Beneficios Sociales" xfId="123" xr:uid="{00000000-0005-0000-0000-00005B000000}"/>
    <cellStyle name="20% - Accent3" xfId="19" xr:uid="{00000000-0005-0000-0000-00005C000000}"/>
    <cellStyle name="20% - Accent3 2" xfId="124" xr:uid="{00000000-0005-0000-0000-00005D000000}"/>
    <cellStyle name="20% - Accent3 2 2" xfId="125" xr:uid="{00000000-0005-0000-0000-00005E000000}"/>
    <cellStyle name="20% - Accent3 2 2 2" xfId="126" xr:uid="{00000000-0005-0000-0000-00005F000000}"/>
    <cellStyle name="20% - Accent3 2 3" xfId="127" xr:uid="{00000000-0005-0000-0000-000060000000}"/>
    <cellStyle name="20% - Accent3 2 3 2" xfId="128" xr:uid="{00000000-0005-0000-0000-000061000000}"/>
    <cellStyle name="20% - Accent3 2 4" xfId="129" xr:uid="{00000000-0005-0000-0000-000062000000}"/>
    <cellStyle name="20% - Accent3 3" xfId="130" xr:uid="{00000000-0005-0000-0000-000063000000}"/>
    <cellStyle name="20% - Accent3 3 2" xfId="131" xr:uid="{00000000-0005-0000-0000-000064000000}"/>
    <cellStyle name="20% - Accent3 4" xfId="132" xr:uid="{00000000-0005-0000-0000-000065000000}"/>
    <cellStyle name="20% - Accent3 4 2" xfId="133" xr:uid="{00000000-0005-0000-0000-000066000000}"/>
    <cellStyle name="20% - Accent3 5" xfId="134" xr:uid="{00000000-0005-0000-0000-000067000000}"/>
    <cellStyle name="20% - Accent3_Cálculo de Beneficios Sociales" xfId="135" xr:uid="{00000000-0005-0000-0000-000068000000}"/>
    <cellStyle name="20% - Accent4" xfId="23" xr:uid="{00000000-0005-0000-0000-000069000000}"/>
    <cellStyle name="20% - Accent4 2" xfId="136" xr:uid="{00000000-0005-0000-0000-00006A000000}"/>
    <cellStyle name="20% - Accent4 2 2" xfId="137" xr:uid="{00000000-0005-0000-0000-00006B000000}"/>
    <cellStyle name="20% - Accent4 2 2 2" xfId="138" xr:uid="{00000000-0005-0000-0000-00006C000000}"/>
    <cellStyle name="20% - Accent4 2 3" xfId="139" xr:uid="{00000000-0005-0000-0000-00006D000000}"/>
    <cellStyle name="20% - Accent4 2 3 2" xfId="140" xr:uid="{00000000-0005-0000-0000-00006E000000}"/>
    <cellStyle name="20% - Accent4 2 4" xfId="141" xr:uid="{00000000-0005-0000-0000-00006F000000}"/>
    <cellStyle name="20% - Accent4 3" xfId="142" xr:uid="{00000000-0005-0000-0000-000070000000}"/>
    <cellStyle name="20% - Accent4 3 2" xfId="143" xr:uid="{00000000-0005-0000-0000-000071000000}"/>
    <cellStyle name="20% - Accent4 4" xfId="144" xr:uid="{00000000-0005-0000-0000-000072000000}"/>
    <cellStyle name="20% - Accent4 4 2" xfId="145" xr:uid="{00000000-0005-0000-0000-000073000000}"/>
    <cellStyle name="20% - Accent4 5" xfId="146" xr:uid="{00000000-0005-0000-0000-000074000000}"/>
    <cellStyle name="20% - Accent4_Cálculo de Beneficios Sociales" xfId="147" xr:uid="{00000000-0005-0000-0000-000075000000}"/>
    <cellStyle name="20% - Accent5" xfId="27" xr:uid="{00000000-0005-0000-0000-000076000000}"/>
    <cellStyle name="20% - Accent5 2" xfId="148" xr:uid="{00000000-0005-0000-0000-000077000000}"/>
    <cellStyle name="20% - Accent5 2 2" xfId="149" xr:uid="{00000000-0005-0000-0000-000078000000}"/>
    <cellStyle name="20% - Accent5 2 2 2" xfId="150" xr:uid="{00000000-0005-0000-0000-000079000000}"/>
    <cellStyle name="20% - Accent5 2 3" xfId="151" xr:uid="{00000000-0005-0000-0000-00007A000000}"/>
    <cellStyle name="20% - Accent5 2 3 2" xfId="152" xr:uid="{00000000-0005-0000-0000-00007B000000}"/>
    <cellStyle name="20% - Accent5 2 4" xfId="153" xr:uid="{00000000-0005-0000-0000-00007C000000}"/>
    <cellStyle name="20% - Accent5 3" xfId="154" xr:uid="{00000000-0005-0000-0000-00007D000000}"/>
    <cellStyle name="20% - Accent5 3 2" xfId="155" xr:uid="{00000000-0005-0000-0000-00007E000000}"/>
    <cellStyle name="20% - Accent5 4" xfId="156" xr:uid="{00000000-0005-0000-0000-00007F000000}"/>
    <cellStyle name="20% - Accent5 4 2" xfId="157" xr:uid="{00000000-0005-0000-0000-000080000000}"/>
    <cellStyle name="20% - Accent5 5" xfId="158" xr:uid="{00000000-0005-0000-0000-000081000000}"/>
    <cellStyle name="20% - Accent5_Cálculo de Beneficios Sociales" xfId="159" xr:uid="{00000000-0005-0000-0000-000082000000}"/>
    <cellStyle name="20% - Accent6" xfId="31" xr:uid="{00000000-0005-0000-0000-000083000000}"/>
    <cellStyle name="20% - Accent6 2" xfId="160" xr:uid="{00000000-0005-0000-0000-000084000000}"/>
    <cellStyle name="20% - Accent6 2 2" xfId="161" xr:uid="{00000000-0005-0000-0000-000085000000}"/>
    <cellStyle name="20% - Accent6 2 2 2" xfId="162" xr:uid="{00000000-0005-0000-0000-000086000000}"/>
    <cellStyle name="20% - Accent6 2 3" xfId="163" xr:uid="{00000000-0005-0000-0000-000087000000}"/>
    <cellStyle name="20% - Accent6 2 3 2" xfId="164" xr:uid="{00000000-0005-0000-0000-000088000000}"/>
    <cellStyle name="20% - Accent6 2 4" xfId="165" xr:uid="{00000000-0005-0000-0000-000089000000}"/>
    <cellStyle name="20% - Accent6 3" xfId="166" xr:uid="{00000000-0005-0000-0000-00008A000000}"/>
    <cellStyle name="20% - Accent6 3 2" xfId="167" xr:uid="{00000000-0005-0000-0000-00008B000000}"/>
    <cellStyle name="20% - Accent6 4" xfId="168" xr:uid="{00000000-0005-0000-0000-00008C000000}"/>
    <cellStyle name="20% - Accent6 4 2" xfId="169" xr:uid="{00000000-0005-0000-0000-00008D000000}"/>
    <cellStyle name="20% - Accent6 5" xfId="170" xr:uid="{00000000-0005-0000-0000-00008E000000}"/>
    <cellStyle name="20% - Accent6_Cálculo de Beneficios Sociales" xfId="171" xr:uid="{00000000-0005-0000-0000-00008F000000}"/>
    <cellStyle name="20% - Énfasis1 2" xfId="172" xr:uid="{00000000-0005-0000-0000-000091000000}"/>
    <cellStyle name="20% - Énfasis1 2 2" xfId="173" xr:uid="{00000000-0005-0000-0000-000092000000}"/>
    <cellStyle name="20% - Énfasis1 2 2 2" xfId="174" xr:uid="{00000000-0005-0000-0000-000093000000}"/>
    <cellStyle name="20% - Énfasis1 2 2 2 2" xfId="175" xr:uid="{00000000-0005-0000-0000-000094000000}"/>
    <cellStyle name="20% - Énfasis1 2 2 3" xfId="176" xr:uid="{00000000-0005-0000-0000-000095000000}"/>
    <cellStyle name="20% - Énfasis1 2 3" xfId="177" xr:uid="{00000000-0005-0000-0000-000096000000}"/>
    <cellStyle name="20% - Énfasis1 2 3 2" xfId="178" xr:uid="{00000000-0005-0000-0000-000097000000}"/>
    <cellStyle name="20% - Énfasis1 2 4" xfId="179" xr:uid="{00000000-0005-0000-0000-000098000000}"/>
    <cellStyle name="20% - Énfasis1 2 5" xfId="180" xr:uid="{00000000-0005-0000-0000-000099000000}"/>
    <cellStyle name="20% - Énfasis2 2" xfId="181" xr:uid="{00000000-0005-0000-0000-00009B000000}"/>
    <cellStyle name="20% - Énfasis2 2 2" xfId="182" xr:uid="{00000000-0005-0000-0000-00009C000000}"/>
    <cellStyle name="20% - Énfasis2 2 2 2" xfId="183" xr:uid="{00000000-0005-0000-0000-00009D000000}"/>
    <cellStyle name="20% - Énfasis2 2 2 2 2" xfId="184" xr:uid="{00000000-0005-0000-0000-00009E000000}"/>
    <cellStyle name="20% - Énfasis2 2 2 3" xfId="185" xr:uid="{00000000-0005-0000-0000-00009F000000}"/>
    <cellStyle name="20% - Énfasis2 2 3" xfId="186" xr:uid="{00000000-0005-0000-0000-0000A0000000}"/>
    <cellStyle name="20% - Énfasis2 2 3 2" xfId="187" xr:uid="{00000000-0005-0000-0000-0000A1000000}"/>
    <cellStyle name="20% - Énfasis2 2 4" xfId="188" xr:uid="{00000000-0005-0000-0000-0000A2000000}"/>
    <cellStyle name="20% - Énfasis2 2 5" xfId="189" xr:uid="{00000000-0005-0000-0000-0000A3000000}"/>
    <cellStyle name="20% - Énfasis3 2" xfId="190" xr:uid="{00000000-0005-0000-0000-0000A5000000}"/>
    <cellStyle name="20% - Énfasis3 2 2" xfId="191" xr:uid="{00000000-0005-0000-0000-0000A6000000}"/>
    <cellStyle name="20% - Énfasis3 2 2 2" xfId="192" xr:uid="{00000000-0005-0000-0000-0000A7000000}"/>
    <cellStyle name="20% - Énfasis3 2 2 2 2" xfId="193" xr:uid="{00000000-0005-0000-0000-0000A8000000}"/>
    <cellStyle name="20% - Énfasis3 2 2 3" xfId="194" xr:uid="{00000000-0005-0000-0000-0000A9000000}"/>
    <cellStyle name="20% - Énfasis3 2 3" xfId="195" xr:uid="{00000000-0005-0000-0000-0000AA000000}"/>
    <cellStyle name="20% - Énfasis3 2 3 2" xfId="196" xr:uid="{00000000-0005-0000-0000-0000AB000000}"/>
    <cellStyle name="20% - Énfasis3 2 4" xfId="197" xr:uid="{00000000-0005-0000-0000-0000AC000000}"/>
    <cellStyle name="20% - Énfasis3 2 5" xfId="198" xr:uid="{00000000-0005-0000-0000-0000AD000000}"/>
    <cellStyle name="20% - Énfasis4 2" xfId="199" xr:uid="{00000000-0005-0000-0000-0000AF000000}"/>
    <cellStyle name="20% - Énfasis4 2 2" xfId="200" xr:uid="{00000000-0005-0000-0000-0000B0000000}"/>
    <cellStyle name="20% - Énfasis4 2 2 2" xfId="201" xr:uid="{00000000-0005-0000-0000-0000B1000000}"/>
    <cellStyle name="20% - Énfasis4 2 2 2 2" xfId="202" xr:uid="{00000000-0005-0000-0000-0000B2000000}"/>
    <cellStyle name="20% - Énfasis4 2 2 3" xfId="203" xr:uid="{00000000-0005-0000-0000-0000B3000000}"/>
    <cellStyle name="20% - Énfasis4 2 3" xfId="204" xr:uid="{00000000-0005-0000-0000-0000B4000000}"/>
    <cellStyle name="20% - Énfasis4 2 3 2" xfId="205" xr:uid="{00000000-0005-0000-0000-0000B5000000}"/>
    <cellStyle name="20% - Énfasis4 2 4" xfId="206" xr:uid="{00000000-0005-0000-0000-0000B6000000}"/>
    <cellStyle name="20% - Énfasis4 2 5" xfId="207" xr:uid="{00000000-0005-0000-0000-0000B7000000}"/>
    <cellStyle name="20% - Énfasis5 2" xfId="208" xr:uid="{00000000-0005-0000-0000-0000B9000000}"/>
    <cellStyle name="20% - Énfasis5 2 2" xfId="209" xr:uid="{00000000-0005-0000-0000-0000BA000000}"/>
    <cellStyle name="20% - Énfasis5 2 2 2" xfId="210" xr:uid="{00000000-0005-0000-0000-0000BB000000}"/>
    <cellStyle name="20% - Énfasis5 2 2 2 2" xfId="211" xr:uid="{00000000-0005-0000-0000-0000BC000000}"/>
    <cellStyle name="20% - Énfasis5 2 2 3" xfId="212" xr:uid="{00000000-0005-0000-0000-0000BD000000}"/>
    <cellStyle name="20% - Énfasis5 2 3" xfId="213" xr:uid="{00000000-0005-0000-0000-0000BE000000}"/>
    <cellStyle name="20% - Énfasis5 2 3 2" xfId="214" xr:uid="{00000000-0005-0000-0000-0000BF000000}"/>
    <cellStyle name="20% - Énfasis5 2 4" xfId="215" xr:uid="{00000000-0005-0000-0000-0000C0000000}"/>
    <cellStyle name="20% - Énfasis5 2 5" xfId="216" xr:uid="{00000000-0005-0000-0000-0000C1000000}"/>
    <cellStyle name="20% - Énfasis6 2" xfId="217" xr:uid="{00000000-0005-0000-0000-0000C3000000}"/>
    <cellStyle name="20% - Énfasis6 2 2" xfId="218" xr:uid="{00000000-0005-0000-0000-0000C4000000}"/>
    <cellStyle name="20% - Énfasis6 2 2 2" xfId="219" xr:uid="{00000000-0005-0000-0000-0000C5000000}"/>
    <cellStyle name="20% - Énfasis6 2 2 2 2" xfId="220" xr:uid="{00000000-0005-0000-0000-0000C6000000}"/>
    <cellStyle name="20% - Énfasis6 2 2 3" xfId="221" xr:uid="{00000000-0005-0000-0000-0000C7000000}"/>
    <cellStyle name="20% - Énfasis6 2 3" xfId="222" xr:uid="{00000000-0005-0000-0000-0000C8000000}"/>
    <cellStyle name="20% - Énfasis6 2 3 2" xfId="223" xr:uid="{00000000-0005-0000-0000-0000C9000000}"/>
    <cellStyle name="20% - Énfasis6 2 4" xfId="224" xr:uid="{00000000-0005-0000-0000-0000CA000000}"/>
    <cellStyle name="20% - Énfasis6 2 5" xfId="225" xr:uid="{00000000-0005-0000-0000-0000CB000000}"/>
    <cellStyle name="40% - Accent1" xfId="12" xr:uid="{00000000-0005-0000-0000-0000CC000000}"/>
    <cellStyle name="40% - Accent1 2" xfId="226" xr:uid="{00000000-0005-0000-0000-0000CD000000}"/>
    <cellStyle name="40% - Accent1 2 2" xfId="227" xr:uid="{00000000-0005-0000-0000-0000CE000000}"/>
    <cellStyle name="40% - Accent1 2 2 2" xfId="228" xr:uid="{00000000-0005-0000-0000-0000CF000000}"/>
    <cellStyle name="40% - Accent1 2 3" xfId="229" xr:uid="{00000000-0005-0000-0000-0000D0000000}"/>
    <cellStyle name="40% - Accent1 2 3 2" xfId="230" xr:uid="{00000000-0005-0000-0000-0000D1000000}"/>
    <cellStyle name="40% - Accent1 2 4" xfId="231" xr:uid="{00000000-0005-0000-0000-0000D2000000}"/>
    <cellStyle name="40% - Accent1 3" xfId="232" xr:uid="{00000000-0005-0000-0000-0000D3000000}"/>
    <cellStyle name="40% - Accent1 3 2" xfId="233" xr:uid="{00000000-0005-0000-0000-0000D4000000}"/>
    <cellStyle name="40% - Accent1 4" xfId="234" xr:uid="{00000000-0005-0000-0000-0000D5000000}"/>
    <cellStyle name="40% - Accent1 4 2" xfId="235" xr:uid="{00000000-0005-0000-0000-0000D6000000}"/>
    <cellStyle name="40% - Accent1 5" xfId="236" xr:uid="{00000000-0005-0000-0000-0000D7000000}"/>
    <cellStyle name="40% - Accent1_Cálculo de Beneficios Sociales" xfId="237" xr:uid="{00000000-0005-0000-0000-0000D8000000}"/>
    <cellStyle name="40% - Accent2" xfId="16" xr:uid="{00000000-0005-0000-0000-0000D9000000}"/>
    <cellStyle name="40% - Accent2 2" xfId="238" xr:uid="{00000000-0005-0000-0000-0000DA000000}"/>
    <cellStyle name="40% - Accent2 2 2" xfId="239" xr:uid="{00000000-0005-0000-0000-0000DB000000}"/>
    <cellStyle name="40% - Accent2 2 2 2" xfId="240" xr:uid="{00000000-0005-0000-0000-0000DC000000}"/>
    <cellStyle name="40% - Accent2 2 3" xfId="241" xr:uid="{00000000-0005-0000-0000-0000DD000000}"/>
    <cellStyle name="40% - Accent2 2 3 2" xfId="242" xr:uid="{00000000-0005-0000-0000-0000DE000000}"/>
    <cellStyle name="40% - Accent2 2 4" xfId="243" xr:uid="{00000000-0005-0000-0000-0000DF000000}"/>
    <cellStyle name="40% - Accent2 3" xfId="244" xr:uid="{00000000-0005-0000-0000-0000E0000000}"/>
    <cellStyle name="40% - Accent2 3 2" xfId="245" xr:uid="{00000000-0005-0000-0000-0000E1000000}"/>
    <cellStyle name="40% - Accent2 4" xfId="246" xr:uid="{00000000-0005-0000-0000-0000E2000000}"/>
    <cellStyle name="40% - Accent2 4 2" xfId="247" xr:uid="{00000000-0005-0000-0000-0000E3000000}"/>
    <cellStyle name="40% - Accent2 5" xfId="248" xr:uid="{00000000-0005-0000-0000-0000E4000000}"/>
    <cellStyle name="40% - Accent2_Cálculo de Beneficios Sociales" xfId="249" xr:uid="{00000000-0005-0000-0000-0000E5000000}"/>
    <cellStyle name="40% - Accent3" xfId="20" xr:uid="{00000000-0005-0000-0000-0000E6000000}"/>
    <cellStyle name="40% - Accent3 2" xfId="250" xr:uid="{00000000-0005-0000-0000-0000E7000000}"/>
    <cellStyle name="40% - Accent3 2 2" xfId="251" xr:uid="{00000000-0005-0000-0000-0000E8000000}"/>
    <cellStyle name="40% - Accent3 2 2 2" xfId="252" xr:uid="{00000000-0005-0000-0000-0000E9000000}"/>
    <cellStyle name="40% - Accent3 2 3" xfId="253" xr:uid="{00000000-0005-0000-0000-0000EA000000}"/>
    <cellStyle name="40% - Accent3 2 3 2" xfId="254" xr:uid="{00000000-0005-0000-0000-0000EB000000}"/>
    <cellStyle name="40% - Accent3 2 4" xfId="255" xr:uid="{00000000-0005-0000-0000-0000EC000000}"/>
    <cellStyle name="40% - Accent3 3" xfId="256" xr:uid="{00000000-0005-0000-0000-0000ED000000}"/>
    <cellStyle name="40% - Accent3 3 2" xfId="257" xr:uid="{00000000-0005-0000-0000-0000EE000000}"/>
    <cellStyle name="40% - Accent3 4" xfId="258" xr:uid="{00000000-0005-0000-0000-0000EF000000}"/>
    <cellStyle name="40% - Accent3 4 2" xfId="259" xr:uid="{00000000-0005-0000-0000-0000F0000000}"/>
    <cellStyle name="40% - Accent3 5" xfId="260" xr:uid="{00000000-0005-0000-0000-0000F1000000}"/>
    <cellStyle name="40% - Accent3_Cálculo de Beneficios Sociales" xfId="261" xr:uid="{00000000-0005-0000-0000-0000F2000000}"/>
    <cellStyle name="40% - Accent4" xfId="24" xr:uid="{00000000-0005-0000-0000-0000F3000000}"/>
    <cellStyle name="40% - Accent4 2" xfId="262" xr:uid="{00000000-0005-0000-0000-0000F4000000}"/>
    <cellStyle name="40% - Accent4 2 2" xfId="263" xr:uid="{00000000-0005-0000-0000-0000F5000000}"/>
    <cellStyle name="40% - Accent4 2 2 2" xfId="264" xr:uid="{00000000-0005-0000-0000-0000F6000000}"/>
    <cellStyle name="40% - Accent4 2 3" xfId="265" xr:uid="{00000000-0005-0000-0000-0000F7000000}"/>
    <cellStyle name="40% - Accent4 2 3 2" xfId="266" xr:uid="{00000000-0005-0000-0000-0000F8000000}"/>
    <cellStyle name="40% - Accent4 2 4" xfId="267" xr:uid="{00000000-0005-0000-0000-0000F9000000}"/>
    <cellStyle name="40% - Accent4 3" xfId="268" xr:uid="{00000000-0005-0000-0000-0000FA000000}"/>
    <cellStyle name="40% - Accent4 3 2" xfId="269" xr:uid="{00000000-0005-0000-0000-0000FB000000}"/>
    <cellStyle name="40% - Accent4 4" xfId="270" xr:uid="{00000000-0005-0000-0000-0000FC000000}"/>
    <cellStyle name="40% - Accent4 4 2" xfId="271" xr:uid="{00000000-0005-0000-0000-0000FD000000}"/>
    <cellStyle name="40% - Accent4 5" xfId="272" xr:uid="{00000000-0005-0000-0000-0000FE000000}"/>
    <cellStyle name="40% - Accent4_Cálculo de Beneficios Sociales" xfId="273" xr:uid="{00000000-0005-0000-0000-0000FF000000}"/>
    <cellStyle name="40% - Accent5" xfId="28" xr:uid="{00000000-0005-0000-0000-000000010000}"/>
    <cellStyle name="40% - Accent5 2" xfId="274" xr:uid="{00000000-0005-0000-0000-000001010000}"/>
    <cellStyle name="40% - Accent5 2 2" xfId="275" xr:uid="{00000000-0005-0000-0000-000002010000}"/>
    <cellStyle name="40% - Accent5 2 2 2" xfId="276" xr:uid="{00000000-0005-0000-0000-000003010000}"/>
    <cellStyle name="40% - Accent5 2 3" xfId="277" xr:uid="{00000000-0005-0000-0000-000004010000}"/>
    <cellStyle name="40% - Accent5 2 3 2" xfId="278" xr:uid="{00000000-0005-0000-0000-000005010000}"/>
    <cellStyle name="40% - Accent5 2 4" xfId="279" xr:uid="{00000000-0005-0000-0000-000006010000}"/>
    <cellStyle name="40% - Accent5 3" xfId="280" xr:uid="{00000000-0005-0000-0000-000007010000}"/>
    <cellStyle name="40% - Accent5 3 2" xfId="281" xr:uid="{00000000-0005-0000-0000-000008010000}"/>
    <cellStyle name="40% - Accent5 4" xfId="282" xr:uid="{00000000-0005-0000-0000-000009010000}"/>
    <cellStyle name="40% - Accent5 4 2" xfId="283" xr:uid="{00000000-0005-0000-0000-00000A010000}"/>
    <cellStyle name="40% - Accent5 5" xfId="284" xr:uid="{00000000-0005-0000-0000-00000B010000}"/>
    <cellStyle name="40% - Accent5_Cálculo de Beneficios Sociales" xfId="285" xr:uid="{00000000-0005-0000-0000-00000C010000}"/>
    <cellStyle name="40% - Accent6" xfId="32" xr:uid="{00000000-0005-0000-0000-00000D010000}"/>
    <cellStyle name="40% - Accent6 2" xfId="286" xr:uid="{00000000-0005-0000-0000-00000E010000}"/>
    <cellStyle name="40% - Accent6 2 2" xfId="287" xr:uid="{00000000-0005-0000-0000-00000F010000}"/>
    <cellStyle name="40% - Accent6 2 2 2" xfId="288" xr:uid="{00000000-0005-0000-0000-000010010000}"/>
    <cellStyle name="40% - Accent6 2 3" xfId="289" xr:uid="{00000000-0005-0000-0000-000011010000}"/>
    <cellStyle name="40% - Accent6 2 3 2" xfId="290" xr:uid="{00000000-0005-0000-0000-000012010000}"/>
    <cellStyle name="40% - Accent6 2 4" xfId="291" xr:uid="{00000000-0005-0000-0000-000013010000}"/>
    <cellStyle name="40% - Accent6 3" xfId="292" xr:uid="{00000000-0005-0000-0000-000014010000}"/>
    <cellStyle name="40% - Accent6 3 2" xfId="293" xr:uid="{00000000-0005-0000-0000-000015010000}"/>
    <cellStyle name="40% - Accent6 4" xfId="294" xr:uid="{00000000-0005-0000-0000-000016010000}"/>
    <cellStyle name="40% - Accent6 4 2" xfId="295" xr:uid="{00000000-0005-0000-0000-000017010000}"/>
    <cellStyle name="40% - Accent6 5" xfId="296" xr:uid="{00000000-0005-0000-0000-000018010000}"/>
    <cellStyle name="40% - Accent6_Cálculo de Beneficios Sociales" xfId="297" xr:uid="{00000000-0005-0000-0000-000019010000}"/>
    <cellStyle name="40% - Énfasis1 2" xfId="298" xr:uid="{00000000-0005-0000-0000-00001B010000}"/>
    <cellStyle name="40% - Énfasis1 2 2" xfId="299" xr:uid="{00000000-0005-0000-0000-00001C010000}"/>
    <cellStyle name="40% - Énfasis1 2 2 2" xfId="300" xr:uid="{00000000-0005-0000-0000-00001D010000}"/>
    <cellStyle name="40% - Énfasis1 2 2 2 2" xfId="301" xr:uid="{00000000-0005-0000-0000-00001E010000}"/>
    <cellStyle name="40% - Énfasis1 2 2 3" xfId="302" xr:uid="{00000000-0005-0000-0000-00001F010000}"/>
    <cellStyle name="40% - Énfasis1 2 3" xfId="303" xr:uid="{00000000-0005-0000-0000-000020010000}"/>
    <cellStyle name="40% - Énfasis1 2 3 2" xfId="304" xr:uid="{00000000-0005-0000-0000-000021010000}"/>
    <cellStyle name="40% - Énfasis1 2 4" xfId="305" xr:uid="{00000000-0005-0000-0000-000022010000}"/>
    <cellStyle name="40% - Énfasis1 2 5" xfId="306" xr:uid="{00000000-0005-0000-0000-000023010000}"/>
    <cellStyle name="40% - Énfasis2 2" xfId="307" xr:uid="{00000000-0005-0000-0000-000025010000}"/>
    <cellStyle name="40% - Énfasis2 2 2" xfId="308" xr:uid="{00000000-0005-0000-0000-000026010000}"/>
    <cellStyle name="40% - Énfasis2 2 2 2" xfId="309" xr:uid="{00000000-0005-0000-0000-000027010000}"/>
    <cellStyle name="40% - Énfasis2 2 2 2 2" xfId="310" xr:uid="{00000000-0005-0000-0000-000028010000}"/>
    <cellStyle name="40% - Énfasis2 2 2 3" xfId="311" xr:uid="{00000000-0005-0000-0000-000029010000}"/>
    <cellStyle name="40% - Énfasis2 2 3" xfId="312" xr:uid="{00000000-0005-0000-0000-00002A010000}"/>
    <cellStyle name="40% - Énfasis2 2 3 2" xfId="313" xr:uid="{00000000-0005-0000-0000-00002B010000}"/>
    <cellStyle name="40% - Énfasis2 2 4" xfId="314" xr:uid="{00000000-0005-0000-0000-00002C010000}"/>
    <cellStyle name="40% - Énfasis2 2 5" xfId="315" xr:uid="{00000000-0005-0000-0000-00002D010000}"/>
    <cellStyle name="40% - Énfasis3 2" xfId="316" xr:uid="{00000000-0005-0000-0000-00002F010000}"/>
    <cellStyle name="40% - Énfasis3 2 2" xfId="317" xr:uid="{00000000-0005-0000-0000-000030010000}"/>
    <cellStyle name="40% - Énfasis3 2 2 2" xfId="318" xr:uid="{00000000-0005-0000-0000-000031010000}"/>
    <cellStyle name="40% - Énfasis3 2 2 2 2" xfId="319" xr:uid="{00000000-0005-0000-0000-000032010000}"/>
    <cellStyle name="40% - Énfasis3 2 2 3" xfId="320" xr:uid="{00000000-0005-0000-0000-000033010000}"/>
    <cellStyle name="40% - Énfasis3 2 3" xfId="321" xr:uid="{00000000-0005-0000-0000-000034010000}"/>
    <cellStyle name="40% - Énfasis3 2 3 2" xfId="322" xr:uid="{00000000-0005-0000-0000-000035010000}"/>
    <cellStyle name="40% - Énfasis3 2 4" xfId="323" xr:uid="{00000000-0005-0000-0000-000036010000}"/>
    <cellStyle name="40% - Énfasis3 2 5" xfId="324" xr:uid="{00000000-0005-0000-0000-000037010000}"/>
    <cellStyle name="40% - Énfasis4 2" xfId="325" xr:uid="{00000000-0005-0000-0000-000039010000}"/>
    <cellStyle name="40% - Énfasis4 2 2" xfId="326" xr:uid="{00000000-0005-0000-0000-00003A010000}"/>
    <cellStyle name="40% - Énfasis4 2 2 2" xfId="327" xr:uid="{00000000-0005-0000-0000-00003B010000}"/>
    <cellStyle name="40% - Énfasis4 2 2 2 2" xfId="328" xr:uid="{00000000-0005-0000-0000-00003C010000}"/>
    <cellStyle name="40% - Énfasis4 2 2 3" xfId="329" xr:uid="{00000000-0005-0000-0000-00003D010000}"/>
    <cellStyle name="40% - Énfasis4 2 3" xfId="330" xr:uid="{00000000-0005-0000-0000-00003E010000}"/>
    <cellStyle name="40% - Énfasis4 2 3 2" xfId="331" xr:uid="{00000000-0005-0000-0000-00003F010000}"/>
    <cellStyle name="40% - Énfasis4 2 4" xfId="332" xr:uid="{00000000-0005-0000-0000-000040010000}"/>
    <cellStyle name="40% - Énfasis4 2 5" xfId="333" xr:uid="{00000000-0005-0000-0000-000041010000}"/>
    <cellStyle name="40% - Énfasis5 2" xfId="334" xr:uid="{00000000-0005-0000-0000-000043010000}"/>
    <cellStyle name="40% - Énfasis5 2 2" xfId="335" xr:uid="{00000000-0005-0000-0000-000044010000}"/>
    <cellStyle name="40% - Énfasis5 2 2 2" xfId="336" xr:uid="{00000000-0005-0000-0000-000045010000}"/>
    <cellStyle name="40% - Énfasis5 2 2 2 2" xfId="337" xr:uid="{00000000-0005-0000-0000-000046010000}"/>
    <cellStyle name="40% - Énfasis5 2 2 3" xfId="338" xr:uid="{00000000-0005-0000-0000-000047010000}"/>
    <cellStyle name="40% - Énfasis5 2 3" xfId="339" xr:uid="{00000000-0005-0000-0000-000048010000}"/>
    <cellStyle name="40% - Énfasis5 2 3 2" xfId="340" xr:uid="{00000000-0005-0000-0000-000049010000}"/>
    <cellStyle name="40% - Énfasis5 2 4" xfId="341" xr:uid="{00000000-0005-0000-0000-00004A010000}"/>
    <cellStyle name="40% - Énfasis5 2 5" xfId="342" xr:uid="{00000000-0005-0000-0000-00004B010000}"/>
    <cellStyle name="40% - Énfasis6 2" xfId="343" xr:uid="{00000000-0005-0000-0000-00004D010000}"/>
    <cellStyle name="40% - Énfasis6 2 2" xfId="344" xr:uid="{00000000-0005-0000-0000-00004E010000}"/>
    <cellStyle name="40% - Énfasis6 2 2 2" xfId="345" xr:uid="{00000000-0005-0000-0000-00004F010000}"/>
    <cellStyle name="40% - Énfasis6 2 2 2 2" xfId="346" xr:uid="{00000000-0005-0000-0000-000050010000}"/>
    <cellStyle name="40% - Énfasis6 2 2 3" xfId="347" xr:uid="{00000000-0005-0000-0000-000051010000}"/>
    <cellStyle name="40% - Énfasis6 2 3" xfId="348" xr:uid="{00000000-0005-0000-0000-000052010000}"/>
    <cellStyle name="40% - Énfasis6 2 3 2" xfId="349" xr:uid="{00000000-0005-0000-0000-000053010000}"/>
    <cellStyle name="40% - Énfasis6 2 4" xfId="350" xr:uid="{00000000-0005-0000-0000-000054010000}"/>
    <cellStyle name="40% - Énfasis6 2 5" xfId="351" xr:uid="{00000000-0005-0000-0000-000055010000}"/>
    <cellStyle name="60% - Accent1" xfId="13" xr:uid="{00000000-0005-0000-0000-000056010000}"/>
    <cellStyle name="60% - Accent2" xfId="17" xr:uid="{00000000-0005-0000-0000-000057010000}"/>
    <cellStyle name="60% - Accent3" xfId="21" xr:uid="{00000000-0005-0000-0000-000058010000}"/>
    <cellStyle name="60% - Accent4" xfId="25" xr:uid="{00000000-0005-0000-0000-000059010000}"/>
    <cellStyle name="60% - Accent5" xfId="29" xr:uid="{00000000-0005-0000-0000-00005A010000}"/>
    <cellStyle name="60% - Accent6" xfId="33" xr:uid="{00000000-0005-0000-0000-00005B010000}"/>
    <cellStyle name="60% - Énfasis1 2" xfId="352" xr:uid="{00000000-0005-0000-0000-00005D010000}"/>
    <cellStyle name="60% - Énfasis1 2 2" xfId="353" xr:uid="{00000000-0005-0000-0000-00005E010000}"/>
    <cellStyle name="60% - Énfasis1 2 3" xfId="354" xr:uid="{00000000-0005-0000-0000-00005F010000}"/>
    <cellStyle name="60% - Énfasis2 2" xfId="355" xr:uid="{00000000-0005-0000-0000-000061010000}"/>
    <cellStyle name="60% - Énfasis2 2 2" xfId="356" xr:uid="{00000000-0005-0000-0000-000062010000}"/>
    <cellStyle name="60% - Énfasis2 2 3" xfId="357" xr:uid="{00000000-0005-0000-0000-000063010000}"/>
    <cellStyle name="60% - Énfasis3 2" xfId="358" xr:uid="{00000000-0005-0000-0000-000065010000}"/>
    <cellStyle name="60% - Énfasis3 2 2" xfId="359" xr:uid="{00000000-0005-0000-0000-000066010000}"/>
    <cellStyle name="60% - Énfasis3 2 3" xfId="360" xr:uid="{00000000-0005-0000-0000-000067010000}"/>
    <cellStyle name="60% - Énfasis4 2" xfId="361" xr:uid="{00000000-0005-0000-0000-000069010000}"/>
    <cellStyle name="60% - Énfasis4 2 2" xfId="362" xr:uid="{00000000-0005-0000-0000-00006A010000}"/>
    <cellStyle name="60% - Énfasis4 2 3" xfId="363" xr:uid="{00000000-0005-0000-0000-00006B010000}"/>
    <cellStyle name="60% - Énfasis5 2" xfId="364" xr:uid="{00000000-0005-0000-0000-00006D010000}"/>
    <cellStyle name="60% - Énfasis5 2 2" xfId="365" xr:uid="{00000000-0005-0000-0000-00006E010000}"/>
    <cellStyle name="60% - Énfasis5 2 3" xfId="366" xr:uid="{00000000-0005-0000-0000-00006F010000}"/>
    <cellStyle name="60% - Énfasis6 2" xfId="367" xr:uid="{00000000-0005-0000-0000-000071010000}"/>
    <cellStyle name="60% - Énfasis6 2 2" xfId="368" xr:uid="{00000000-0005-0000-0000-000072010000}"/>
    <cellStyle name="60% - Énfasis6 2 3" xfId="369" xr:uid="{00000000-0005-0000-0000-000073010000}"/>
    <cellStyle name="Accent1" xfId="10" xr:uid="{00000000-0005-0000-0000-000074010000}"/>
    <cellStyle name="Accent1 2" xfId="370" xr:uid="{00000000-0005-0000-0000-000075010000}"/>
    <cellStyle name="Accent1_Cálculo de Beneficios Sociales" xfId="371" xr:uid="{00000000-0005-0000-0000-000076010000}"/>
    <cellStyle name="Accent2" xfId="14" xr:uid="{00000000-0005-0000-0000-000077010000}"/>
    <cellStyle name="Accent2 2" xfId="372" xr:uid="{00000000-0005-0000-0000-000078010000}"/>
    <cellStyle name="Accent2_Cálculo de Beneficios Sociales" xfId="373" xr:uid="{00000000-0005-0000-0000-000079010000}"/>
    <cellStyle name="Accent3" xfId="18" xr:uid="{00000000-0005-0000-0000-00007A010000}"/>
    <cellStyle name="Accent3 2" xfId="374" xr:uid="{00000000-0005-0000-0000-00007B010000}"/>
    <cellStyle name="Accent3_Cálculo de Beneficios Sociales" xfId="375" xr:uid="{00000000-0005-0000-0000-00007C010000}"/>
    <cellStyle name="Accent4" xfId="22" xr:uid="{00000000-0005-0000-0000-00007D010000}"/>
    <cellStyle name="Accent4 2" xfId="376" xr:uid="{00000000-0005-0000-0000-00007E010000}"/>
    <cellStyle name="Accent4_Cálculo de Beneficios Sociales" xfId="377" xr:uid="{00000000-0005-0000-0000-00007F010000}"/>
    <cellStyle name="Accent5" xfId="26" xr:uid="{00000000-0005-0000-0000-000080010000}"/>
    <cellStyle name="Accent5 2" xfId="378" xr:uid="{00000000-0005-0000-0000-000081010000}"/>
    <cellStyle name="Accent5_Cálculo de Beneficios Sociales" xfId="379" xr:uid="{00000000-0005-0000-0000-000082010000}"/>
    <cellStyle name="Accent6" xfId="30" xr:uid="{00000000-0005-0000-0000-000083010000}"/>
    <cellStyle name="Accent6 2" xfId="380" xr:uid="{00000000-0005-0000-0000-000084010000}"/>
    <cellStyle name="Accent6_Cálculo de Beneficios Sociales" xfId="381" xr:uid="{00000000-0005-0000-0000-000085010000}"/>
    <cellStyle name="args.style" xfId="382" xr:uid="{00000000-0005-0000-0000-000086010000}"/>
    <cellStyle name="Bad" xfId="4" xr:uid="{00000000-0005-0000-0000-000087010000}"/>
    <cellStyle name="Bad 2" xfId="383" xr:uid="{00000000-0005-0000-0000-000088010000}"/>
    <cellStyle name="Bad_Cálculo de Beneficios Sociales" xfId="384" xr:uid="{00000000-0005-0000-0000-000089010000}"/>
    <cellStyle name="Buena 2" xfId="385" xr:uid="{00000000-0005-0000-0000-00008B010000}"/>
    <cellStyle name="Buena 2 2" xfId="386" xr:uid="{00000000-0005-0000-0000-00008C010000}"/>
    <cellStyle name="Buena 2 3" xfId="387" xr:uid="{00000000-0005-0000-0000-00008D010000}"/>
    <cellStyle name="Bueno" xfId="729" builtinId="26" customBuiltin="1"/>
    <cellStyle name="Calc Currency (0)" xfId="388" xr:uid="{00000000-0005-0000-0000-00008E010000}"/>
    <cellStyle name="Calculation" xfId="7" xr:uid="{00000000-0005-0000-0000-00008F010000}"/>
    <cellStyle name="Calculation 2" xfId="389" xr:uid="{00000000-0005-0000-0000-000090010000}"/>
    <cellStyle name="Calculation 2 2" xfId="2780" xr:uid="{00000000-0005-0000-0000-000091010000}"/>
    <cellStyle name="Calculation 2 3" xfId="2819" xr:uid="{00000000-0005-0000-0000-000092010000}"/>
    <cellStyle name="Calculation 3" xfId="2779" xr:uid="{00000000-0005-0000-0000-000093010000}"/>
    <cellStyle name="Calculation 4" xfId="2820" xr:uid="{00000000-0005-0000-0000-000094010000}"/>
    <cellStyle name="Calculation_Cálculo de Beneficios Sociales" xfId="390" xr:uid="{00000000-0005-0000-0000-000095010000}"/>
    <cellStyle name="Cálculo 2" xfId="391" xr:uid="{00000000-0005-0000-0000-000097010000}"/>
    <cellStyle name="Cálculo 2 2" xfId="392" xr:uid="{00000000-0005-0000-0000-000098010000}"/>
    <cellStyle name="Cálculo 2 2 2" xfId="2782" xr:uid="{00000000-0005-0000-0000-000099010000}"/>
    <cellStyle name="Cálculo 2 2 3" xfId="2817" xr:uid="{00000000-0005-0000-0000-00009A010000}"/>
    <cellStyle name="Cálculo 2 3" xfId="393" xr:uid="{00000000-0005-0000-0000-00009B010000}"/>
    <cellStyle name="Cálculo 2 4" xfId="394" xr:uid="{00000000-0005-0000-0000-00009C010000}"/>
    <cellStyle name="Cálculo 2 4 2" xfId="2783" xr:uid="{00000000-0005-0000-0000-00009D010000}"/>
    <cellStyle name="Cálculo 2 4 3" xfId="2816" xr:uid="{00000000-0005-0000-0000-00009E010000}"/>
    <cellStyle name="Cálculo 2 5" xfId="2781" xr:uid="{00000000-0005-0000-0000-00009F010000}"/>
    <cellStyle name="Cálculo 2 6" xfId="2818" xr:uid="{00000000-0005-0000-0000-0000A0010000}"/>
    <cellStyle name="Celda de comprobación" xfId="401" builtinId="23" customBuiltin="1"/>
    <cellStyle name="Celda de comprobación 2" xfId="395" xr:uid="{00000000-0005-0000-0000-0000A2010000}"/>
    <cellStyle name="Celda de comprobación 2 2" xfId="396" xr:uid="{00000000-0005-0000-0000-0000A3010000}"/>
    <cellStyle name="Celda de comprobación 2 3" xfId="397" xr:uid="{00000000-0005-0000-0000-0000A4010000}"/>
    <cellStyle name="Celda vinculada" xfId="752" builtinId="24" customBuiltin="1"/>
    <cellStyle name="Celda vinculada 2" xfId="398" xr:uid="{00000000-0005-0000-0000-0000A6010000}"/>
    <cellStyle name="Celda vinculada 2 2" xfId="399" xr:uid="{00000000-0005-0000-0000-0000A7010000}"/>
    <cellStyle name="Celda vinculada 2 3" xfId="400" xr:uid="{00000000-0005-0000-0000-0000A8010000}"/>
    <cellStyle name="Check Cell 2" xfId="402" xr:uid="{00000000-0005-0000-0000-0000AA010000}"/>
    <cellStyle name="Comma [0]" xfId="403" xr:uid="{00000000-0005-0000-0000-0000AC010000}"/>
    <cellStyle name="Comma 2" xfId="404" xr:uid="{00000000-0005-0000-0000-0000AD010000}"/>
    <cellStyle name="Comma 2 2" xfId="405" xr:uid="{00000000-0005-0000-0000-0000AE010000}"/>
    <cellStyle name="Comma 2 2 2" xfId="406" xr:uid="{00000000-0005-0000-0000-0000AF010000}"/>
    <cellStyle name="Comma 2 2 2 2" xfId="407" xr:uid="{00000000-0005-0000-0000-0000B0010000}"/>
    <cellStyle name="Comma 2 2 3" xfId="408" xr:uid="{00000000-0005-0000-0000-0000B1010000}"/>
    <cellStyle name="Comma 2 3" xfId="409" xr:uid="{00000000-0005-0000-0000-0000B2010000}"/>
    <cellStyle name="Comma 2 3 2" xfId="410" xr:uid="{00000000-0005-0000-0000-0000B3010000}"/>
    <cellStyle name="Comma 2 4" xfId="411" xr:uid="{00000000-0005-0000-0000-0000B4010000}"/>
    <cellStyle name="Comma0" xfId="412" xr:uid="{00000000-0005-0000-0000-0000B6010000}"/>
    <cellStyle name="Copied" xfId="413" xr:uid="{00000000-0005-0000-0000-0000B7010000}"/>
    <cellStyle name="COST1" xfId="414" xr:uid="{00000000-0005-0000-0000-0000B8010000}"/>
    <cellStyle name="Currency [0]" xfId="415" xr:uid="{00000000-0005-0000-0000-0000B9010000}"/>
    <cellStyle name="Currency0" xfId="416" xr:uid="{00000000-0005-0000-0000-0000BB010000}"/>
    <cellStyle name="Date" xfId="417" xr:uid="{00000000-0005-0000-0000-0000BC010000}"/>
    <cellStyle name="Date 2" xfId="418" xr:uid="{00000000-0005-0000-0000-0000BD010000}"/>
    <cellStyle name="Encabezado 4" xfId="742" builtinId="19" customBuiltin="1"/>
    <cellStyle name="Encabezado 4 2" xfId="419" xr:uid="{00000000-0005-0000-0000-0000BF010000}"/>
    <cellStyle name="Encabezado 4 2 2" xfId="420" xr:uid="{00000000-0005-0000-0000-0000C0010000}"/>
    <cellStyle name="Encabezado 4 2 3" xfId="421" xr:uid="{00000000-0005-0000-0000-0000C1010000}"/>
    <cellStyle name="Énfasis 1" xfId="422" xr:uid="{00000000-0005-0000-0000-0000C2010000}"/>
    <cellStyle name="Énfasis 2" xfId="423" xr:uid="{00000000-0005-0000-0000-0000C3010000}"/>
    <cellStyle name="Énfasis 3" xfId="424" xr:uid="{00000000-0005-0000-0000-0000C4010000}"/>
    <cellStyle name="Énfasis1 - 20%" xfId="425" xr:uid="{00000000-0005-0000-0000-0000C6010000}"/>
    <cellStyle name="Énfasis1 - 20% 2" xfId="426" xr:uid="{00000000-0005-0000-0000-0000C7010000}"/>
    <cellStyle name="Énfasis1 - 20% 2 2" xfId="427" xr:uid="{00000000-0005-0000-0000-0000C8010000}"/>
    <cellStyle name="Énfasis1 - 20% 3" xfId="428" xr:uid="{00000000-0005-0000-0000-0000C9010000}"/>
    <cellStyle name="Énfasis1 - 20% 3 2" xfId="429" xr:uid="{00000000-0005-0000-0000-0000CA010000}"/>
    <cellStyle name="Énfasis1 - 20% 4" xfId="430" xr:uid="{00000000-0005-0000-0000-0000CB010000}"/>
    <cellStyle name="Énfasis1 - 40%" xfId="431" xr:uid="{00000000-0005-0000-0000-0000CC010000}"/>
    <cellStyle name="Énfasis1 - 40% 2" xfId="432" xr:uid="{00000000-0005-0000-0000-0000CD010000}"/>
    <cellStyle name="Énfasis1 - 40% 2 2" xfId="433" xr:uid="{00000000-0005-0000-0000-0000CE010000}"/>
    <cellStyle name="Énfasis1 - 40% 3" xfId="434" xr:uid="{00000000-0005-0000-0000-0000CF010000}"/>
    <cellStyle name="Énfasis1 - 40% 3 2" xfId="435" xr:uid="{00000000-0005-0000-0000-0000D0010000}"/>
    <cellStyle name="Énfasis1 - 40% 4" xfId="436" xr:uid="{00000000-0005-0000-0000-0000D1010000}"/>
    <cellStyle name="Énfasis1 - 60%" xfId="437" xr:uid="{00000000-0005-0000-0000-0000D2010000}"/>
    <cellStyle name="Énfasis1 10" xfId="438" xr:uid="{00000000-0005-0000-0000-0000D3010000}"/>
    <cellStyle name="Énfasis1 11" xfId="439" xr:uid="{00000000-0005-0000-0000-0000D4010000}"/>
    <cellStyle name="Énfasis1 12" xfId="440" xr:uid="{00000000-0005-0000-0000-0000D5010000}"/>
    <cellStyle name="Énfasis1 13" xfId="441" xr:uid="{00000000-0005-0000-0000-0000D6010000}"/>
    <cellStyle name="Énfasis1 2" xfId="442" xr:uid="{00000000-0005-0000-0000-0000D7010000}"/>
    <cellStyle name="Énfasis1 2 2" xfId="443" xr:uid="{00000000-0005-0000-0000-0000D8010000}"/>
    <cellStyle name="Énfasis1 2 3" xfId="444" xr:uid="{00000000-0005-0000-0000-0000D9010000}"/>
    <cellStyle name="Énfasis1 3" xfId="445" xr:uid="{00000000-0005-0000-0000-0000DA010000}"/>
    <cellStyle name="Énfasis1 4" xfId="446" xr:uid="{00000000-0005-0000-0000-0000DB010000}"/>
    <cellStyle name="Énfasis1 5" xfId="447" xr:uid="{00000000-0005-0000-0000-0000DC010000}"/>
    <cellStyle name="Énfasis1 6" xfId="448" xr:uid="{00000000-0005-0000-0000-0000DD010000}"/>
    <cellStyle name="Énfasis1 7" xfId="449" xr:uid="{00000000-0005-0000-0000-0000DE010000}"/>
    <cellStyle name="Énfasis1 8" xfId="450" xr:uid="{00000000-0005-0000-0000-0000DF010000}"/>
    <cellStyle name="Énfasis1 9" xfId="451" xr:uid="{00000000-0005-0000-0000-0000E0010000}"/>
    <cellStyle name="Énfasis2 - 20%" xfId="452" xr:uid="{00000000-0005-0000-0000-0000E2010000}"/>
    <cellStyle name="Énfasis2 - 20% 2" xfId="453" xr:uid="{00000000-0005-0000-0000-0000E3010000}"/>
    <cellStyle name="Énfasis2 - 20% 2 2" xfId="454" xr:uid="{00000000-0005-0000-0000-0000E4010000}"/>
    <cellStyle name="Énfasis2 - 20% 3" xfId="455" xr:uid="{00000000-0005-0000-0000-0000E5010000}"/>
    <cellStyle name="Énfasis2 - 20% 3 2" xfId="456" xr:uid="{00000000-0005-0000-0000-0000E6010000}"/>
    <cellStyle name="Énfasis2 - 20% 4" xfId="457" xr:uid="{00000000-0005-0000-0000-0000E7010000}"/>
    <cellStyle name="Énfasis2 - 40%" xfId="458" xr:uid="{00000000-0005-0000-0000-0000E8010000}"/>
    <cellStyle name="Énfasis2 - 40% 2" xfId="459" xr:uid="{00000000-0005-0000-0000-0000E9010000}"/>
    <cellStyle name="Énfasis2 - 40% 2 2" xfId="460" xr:uid="{00000000-0005-0000-0000-0000EA010000}"/>
    <cellStyle name="Énfasis2 - 40% 3" xfId="461" xr:uid="{00000000-0005-0000-0000-0000EB010000}"/>
    <cellStyle name="Énfasis2 - 40% 3 2" xfId="462" xr:uid="{00000000-0005-0000-0000-0000EC010000}"/>
    <cellStyle name="Énfasis2 - 40% 4" xfId="463" xr:uid="{00000000-0005-0000-0000-0000ED010000}"/>
    <cellStyle name="Énfasis2 - 60%" xfId="464" xr:uid="{00000000-0005-0000-0000-0000EE010000}"/>
    <cellStyle name="Énfasis2 10" xfId="465" xr:uid="{00000000-0005-0000-0000-0000EF010000}"/>
    <cellStyle name="Énfasis2 11" xfId="466" xr:uid="{00000000-0005-0000-0000-0000F0010000}"/>
    <cellStyle name="Énfasis2 12" xfId="467" xr:uid="{00000000-0005-0000-0000-0000F1010000}"/>
    <cellStyle name="Énfasis2 13" xfId="468" xr:uid="{00000000-0005-0000-0000-0000F2010000}"/>
    <cellStyle name="Énfasis2 2" xfId="469" xr:uid="{00000000-0005-0000-0000-0000F3010000}"/>
    <cellStyle name="Énfasis2 2 2" xfId="470" xr:uid="{00000000-0005-0000-0000-0000F4010000}"/>
    <cellStyle name="Énfasis2 2 3" xfId="471" xr:uid="{00000000-0005-0000-0000-0000F5010000}"/>
    <cellStyle name="Énfasis2 3" xfId="472" xr:uid="{00000000-0005-0000-0000-0000F6010000}"/>
    <cellStyle name="Énfasis2 4" xfId="473" xr:uid="{00000000-0005-0000-0000-0000F7010000}"/>
    <cellStyle name="Énfasis2 5" xfId="474" xr:uid="{00000000-0005-0000-0000-0000F8010000}"/>
    <cellStyle name="Énfasis2 6" xfId="475" xr:uid="{00000000-0005-0000-0000-0000F9010000}"/>
    <cellStyle name="Énfasis2 7" xfId="476" xr:uid="{00000000-0005-0000-0000-0000FA010000}"/>
    <cellStyle name="Énfasis2 8" xfId="477" xr:uid="{00000000-0005-0000-0000-0000FB010000}"/>
    <cellStyle name="Énfasis2 9" xfId="478" xr:uid="{00000000-0005-0000-0000-0000FC010000}"/>
    <cellStyle name="Énfasis3 - 20%" xfId="479" xr:uid="{00000000-0005-0000-0000-0000FE010000}"/>
    <cellStyle name="Énfasis3 - 20% 2" xfId="480" xr:uid="{00000000-0005-0000-0000-0000FF010000}"/>
    <cellStyle name="Énfasis3 - 20% 2 2" xfId="481" xr:uid="{00000000-0005-0000-0000-000000020000}"/>
    <cellStyle name="Énfasis3 - 20% 3" xfId="482" xr:uid="{00000000-0005-0000-0000-000001020000}"/>
    <cellStyle name="Énfasis3 - 20% 3 2" xfId="483" xr:uid="{00000000-0005-0000-0000-000002020000}"/>
    <cellStyle name="Énfasis3 - 20% 4" xfId="484" xr:uid="{00000000-0005-0000-0000-000003020000}"/>
    <cellStyle name="Énfasis3 - 40%" xfId="485" xr:uid="{00000000-0005-0000-0000-000004020000}"/>
    <cellStyle name="Énfasis3 - 40% 2" xfId="486" xr:uid="{00000000-0005-0000-0000-000005020000}"/>
    <cellStyle name="Énfasis3 - 40% 2 2" xfId="487" xr:uid="{00000000-0005-0000-0000-000006020000}"/>
    <cellStyle name="Énfasis3 - 40% 3" xfId="488" xr:uid="{00000000-0005-0000-0000-000007020000}"/>
    <cellStyle name="Énfasis3 - 40% 3 2" xfId="489" xr:uid="{00000000-0005-0000-0000-000008020000}"/>
    <cellStyle name="Énfasis3 - 40% 4" xfId="490" xr:uid="{00000000-0005-0000-0000-000009020000}"/>
    <cellStyle name="Énfasis3 - 60%" xfId="491" xr:uid="{00000000-0005-0000-0000-00000A020000}"/>
    <cellStyle name="Énfasis3 10" xfId="492" xr:uid="{00000000-0005-0000-0000-00000B020000}"/>
    <cellStyle name="Énfasis3 11" xfId="493" xr:uid="{00000000-0005-0000-0000-00000C020000}"/>
    <cellStyle name="Énfasis3 12" xfId="494" xr:uid="{00000000-0005-0000-0000-00000D020000}"/>
    <cellStyle name="Énfasis3 13" xfId="495" xr:uid="{00000000-0005-0000-0000-00000E020000}"/>
    <cellStyle name="Énfasis3 2" xfId="496" xr:uid="{00000000-0005-0000-0000-00000F020000}"/>
    <cellStyle name="Énfasis3 2 2" xfId="497" xr:uid="{00000000-0005-0000-0000-000010020000}"/>
    <cellStyle name="Énfasis3 2 3" xfId="498" xr:uid="{00000000-0005-0000-0000-000011020000}"/>
    <cellStyle name="Énfasis3 3" xfId="499" xr:uid="{00000000-0005-0000-0000-000012020000}"/>
    <cellStyle name="Énfasis3 4" xfId="500" xr:uid="{00000000-0005-0000-0000-000013020000}"/>
    <cellStyle name="Énfasis3 5" xfId="501" xr:uid="{00000000-0005-0000-0000-000014020000}"/>
    <cellStyle name="Énfasis3 6" xfId="502" xr:uid="{00000000-0005-0000-0000-000015020000}"/>
    <cellStyle name="Énfasis3 7" xfId="503" xr:uid="{00000000-0005-0000-0000-000016020000}"/>
    <cellStyle name="Énfasis3 8" xfId="504" xr:uid="{00000000-0005-0000-0000-000017020000}"/>
    <cellStyle name="Énfasis3 9" xfId="505" xr:uid="{00000000-0005-0000-0000-000018020000}"/>
    <cellStyle name="Énfasis4 - 20%" xfId="506" xr:uid="{00000000-0005-0000-0000-00001A020000}"/>
    <cellStyle name="Énfasis4 - 20% 2" xfId="507" xr:uid="{00000000-0005-0000-0000-00001B020000}"/>
    <cellStyle name="Énfasis4 - 20% 2 2" xfId="508" xr:uid="{00000000-0005-0000-0000-00001C020000}"/>
    <cellStyle name="Énfasis4 - 20% 3" xfId="509" xr:uid="{00000000-0005-0000-0000-00001D020000}"/>
    <cellStyle name="Énfasis4 - 20% 3 2" xfId="510" xr:uid="{00000000-0005-0000-0000-00001E020000}"/>
    <cellStyle name="Énfasis4 - 20% 4" xfId="511" xr:uid="{00000000-0005-0000-0000-00001F020000}"/>
    <cellStyle name="Énfasis4 - 40%" xfId="512" xr:uid="{00000000-0005-0000-0000-000020020000}"/>
    <cellStyle name="Énfasis4 - 40% 2" xfId="513" xr:uid="{00000000-0005-0000-0000-000021020000}"/>
    <cellStyle name="Énfasis4 - 40% 2 2" xfId="514" xr:uid="{00000000-0005-0000-0000-000022020000}"/>
    <cellStyle name="Énfasis4 - 40% 3" xfId="515" xr:uid="{00000000-0005-0000-0000-000023020000}"/>
    <cellStyle name="Énfasis4 - 40% 3 2" xfId="516" xr:uid="{00000000-0005-0000-0000-000024020000}"/>
    <cellStyle name="Énfasis4 - 40% 4" xfId="517" xr:uid="{00000000-0005-0000-0000-000025020000}"/>
    <cellStyle name="Énfasis4 - 60%" xfId="518" xr:uid="{00000000-0005-0000-0000-000026020000}"/>
    <cellStyle name="Énfasis4 10" xfId="519" xr:uid="{00000000-0005-0000-0000-000027020000}"/>
    <cellStyle name="Énfasis4 11" xfId="520" xr:uid="{00000000-0005-0000-0000-000028020000}"/>
    <cellStyle name="Énfasis4 12" xfId="521" xr:uid="{00000000-0005-0000-0000-000029020000}"/>
    <cellStyle name="Énfasis4 13" xfId="522" xr:uid="{00000000-0005-0000-0000-00002A020000}"/>
    <cellStyle name="Énfasis4 2" xfId="523" xr:uid="{00000000-0005-0000-0000-00002B020000}"/>
    <cellStyle name="Énfasis4 2 2" xfId="524" xr:uid="{00000000-0005-0000-0000-00002C020000}"/>
    <cellStyle name="Énfasis4 2 3" xfId="525" xr:uid="{00000000-0005-0000-0000-00002D020000}"/>
    <cellStyle name="Énfasis4 3" xfId="526" xr:uid="{00000000-0005-0000-0000-00002E020000}"/>
    <cellStyle name="Énfasis4 4" xfId="527" xr:uid="{00000000-0005-0000-0000-00002F020000}"/>
    <cellStyle name="Énfasis4 5" xfId="528" xr:uid="{00000000-0005-0000-0000-000030020000}"/>
    <cellStyle name="Énfasis4 6" xfId="529" xr:uid="{00000000-0005-0000-0000-000031020000}"/>
    <cellStyle name="Énfasis4 7" xfId="530" xr:uid="{00000000-0005-0000-0000-000032020000}"/>
    <cellStyle name="Énfasis4 8" xfId="531" xr:uid="{00000000-0005-0000-0000-000033020000}"/>
    <cellStyle name="Énfasis4 9" xfId="532" xr:uid="{00000000-0005-0000-0000-000034020000}"/>
    <cellStyle name="Énfasis5 - 20%" xfId="533" xr:uid="{00000000-0005-0000-0000-000036020000}"/>
    <cellStyle name="Énfasis5 - 20% 2" xfId="534" xr:uid="{00000000-0005-0000-0000-000037020000}"/>
    <cellStyle name="Énfasis5 - 20% 2 2" xfId="535" xr:uid="{00000000-0005-0000-0000-000038020000}"/>
    <cellStyle name="Énfasis5 - 20% 3" xfId="536" xr:uid="{00000000-0005-0000-0000-000039020000}"/>
    <cellStyle name="Énfasis5 - 20% 3 2" xfId="537" xr:uid="{00000000-0005-0000-0000-00003A020000}"/>
    <cellStyle name="Énfasis5 - 20% 4" xfId="538" xr:uid="{00000000-0005-0000-0000-00003B020000}"/>
    <cellStyle name="Énfasis5 - 40%" xfId="539" xr:uid="{00000000-0005-0000-0000-00003C020000}"/>
    <cellStyle name="Énfasis5 - 40% 2" xfId="540" xr:uid="{00000000-0005-0000-0000-00003D020000}"/>
    <cellStyle name="Énfasis5 - 40% 2 2" xfId="541" xr:uid="{00000000-0005-0000-0000-00003E020000}"/>
    <cellStyle name="Énfasis5 - 40% 3" xfId="542" xr:uid="{00000000-0005-0000-0000-00003F020000}"/>
    <cellStyle name="Énfasis5 - 40% 3 2" xfId="543" xr:uid="{00000000-0005-0000-0000-000040020000}"/>
    <cellStyle name="Énfasis5 - 40% 4" xfId="544" xr:uid="{00000000-0005-0000-0000-000041020000}"/>
    <cellStyle name="Énfasis5 - 60%" xfId="545" xr:uid="{00000000-0005-0000-0000-000042020000}"/>
    <cellStyle name="Énfasis5 10" xfId="546" xr:uid="{00000000-0005-0000-0000-000043020000}"/>
    <cellStyle name="Énfasis5 11" xfId="547" xr:uid="{00000000-0005-0000-0000-000044020000}"/>
    <cellStyle name="Énfasis5 12" xfId="548" xr:uid="{00000000-0005-0000-0000-000045020000}"/>
    <cellStyle name="Énfasis5 13" xfId="549" xr:uid="{00000000-0005-0000-0000-000046020000}"/>
    <cellStyle name="Énfasis5 2" xfId="550" xr:uid="{00000000-0005-0000-0000-000047020000}"/>
    <cellStyle name="Énfasis5 2 2" xfId="551" xr:uid="{00000000-0005-0000-0000-000048020000}"/>
    <cellStyle name="Énfasis5 2 3" xfId="552" xr:uid="{00000000-0005-0000-0000-000049020000}"/>
    <cellStyle name="Énfasis5 3" xfId="553" xr:uid="{00000000-0005-0000-0000-00004A020000}"/>
    <cellStyle name="Énfasis5 4" xfId="554" xr:uid="{00000000-0005-0000-0000-00004B020000}"/>
    <cellStyle name="Énfasis5 5" xfId="555" xr:uid="{00000000-0005-0000-0000-00004C020000}"/>
    <cellStyle name="Énfasis5 6" xfId="556" xr:uid="{00000000-0005-0000-0000-00004D020000}"/>
    <cellStyle name="Énfasis5 7" xfId="557" xr:uid="{00000000-0005-0000-0000-00004E020000}"/>
    <cellStyle name="Énfasis5 8" xfId="558" xr:uid="{00000000-0005-0000-0000-00004F020000}"/>
    <cellStyle name="Énfasis5 9" xfId="559" xr:uid="{00000000-0005-0000-0000-000050020000}"/>
    <cellStyle name="Énfasis6 - 20%" xfId="560" xr:uid="{00000000-0005-0000-0000-000052020000}"/>
    <cellStyle name="Énfasis6 - 20% 2" xfId="561" xr:uid="{00000000-0005-0000-0000-000053020000}"/>
    <cellStyle name="Énfasis6 - 20% 2 2" xfId="562" xr:uid="{00000000-0005-0000-0000-000054020000}"/>
    <cellStyle name="Énfasis6 - 20% 3" xfId="563" xr:uid="{00000000-0005-0000-0000-000055020000}"/>
    <cellStyle name="Énfasis6 - 20% 3 2" xfId="564" xr:uid="{00000000-0005-0000-0000-000056020000}"/>
    <cellStyle name="Énfasis6 - 20% 4" xfId="565" xr:uid="{00000000-0005-0000-0000-000057020000}"/>
    <cellStyle name="Énfasis6 - 40%" xfId="566" xr:uid="{00000000-0005-0000-0000-000058020000}"/>
    <cellStyle name="Énfasis6 - 40% 2" xfId="567" xr:uid="{00000000-0005-0000-0000-000059020000}"/>
    <cellStyle name="Énfasis6 - 40% 2 2" xfId="568" xr:uid="{00000000-0005-0000-0000-00005A020000}"/>
    <cellStyle name="Énfasis6 - 40% 3" xfId="569" xr:uid="{00000000-0005-0000-0000-00005B020000}"/>
    <cellStyle name="Énfasis6 - 40% 3 2" xfId="570" xr:uid="{00000000-0005-0000-0000-00005C020000}"/>
    <cellStyle name="Énfasis6 - 40% 4" xfId="571" xr:uid="{00000000-0005-0000-0000-00005D020000}"/>
    <cellStyle name="Énfasis6 - 60%" xfId="572" xr:uid="{00000000-0005-0000-0000-00005E020000}"/>
    <cellStyle name="Énfasis6 10" xfId="573" xr:uid="{00000000-0005-0000-0000-00005F020000}"/>
    <cellStyle name="Énfasis6 11" xfId="574" xr:uid="{00000000-0005-0000-0000-000060020000}"/>
    <cellStyle name="Énfasis6 12" xfId="575" xr:uid="{00000000-0005-0000-0000-000061020000}"/>
    <cellStyle name="Énfasis6 13" xfId="576" xr:uid="{00000000-0005-0000-0000-000062020000}"/>
    <cellStyle name="Énfasis6 2" xfId="577" xr:uid="{00000000-0005-0000-0000-000063020000}"/>
    <cellStyle name="Énfasis6 2 2" xfId="578" xr:uid="{00000000-0005-0000-0000-000064020000}"/>
    <cellStyle name="Énfasis6 2 3" xfId="579" xr:uid="{00000000-0005-0000-0000-000065020000}"/>
    <cellStyle name="Énfasis6 3" xfId="580" xr:uid="{00000000-0005-0000-0000-000066020000}"/>
    <cellStyle name="Énfasis6 4" xfId="581" xr:uid="{00000000-0005-0000-0000-000067020000}"/>
    <cellStyle name="Énfasis6 5" xfId="582" xr:uid="{00000000-0005-0000-0000-000068020000}"/>
    <cellStyle name="Énfasis6 6" xfId="583" xr:uid="{00000000-0005-0000-0000-000069020000}"/>
    <cellStyle name="Énfasis6 7" xfId="584" xr:uid="{00000000-0005-0000-0000-00006A020000}"/>
    <cellStyle name="Énfasis6 8" xfId="585" xr:uid="{00000000-0005-0000-0000-00006B020000}"/>
    <cellStyle name="Énfasis6 9" xfId="586" xr:uid="{00000000-0005-0000-0000-00006C020000}"/>
    <cellStyle name="Entered" xfId="587" xr:uid="{00000000-0005-0000-0000-00006D020000}"/>
    <cellStyle name="Entrada" xfId="748" builtinId="20" customBuiltin="1"/>
    <cellStyle name="Entrada 2" xfId="588" xr:uid="{00000000-0005-0000-0000-00006F020000}"/>
    <cellStyle name="Entrada 2 2" xfId="589" xr:uid="{00000000-0005-0000-0000-000070020000}"/>
    <cellStyle name="Entrada 2 2 2" xfId="2785" xr:uid="{00000000-0005-0000-0000-000071020000}"/>
    <cellStyle name="Entrada 2 2 3" xfId="2814" xr:uid="{00000000-0005-0000-0000-000072020000}"/>
    <cellStyle name="Entrada 2 3" xfId="590" xr:uid="{00000000-0005-0000-0000-000073020000}"/>
    <cellStyle name="Entrada 2 4" xfId="2784" xr:uid="{00000000-0005-0000-0000-000074020000}"/>
    <cellStyle name="Entrada 2 5" xfId="2815" xr:uid="{00000000-0005-0000-0000-000075020000}"/>
    <cellStyle name="Estilo 1" xfId="591" xr:uid="{00000000-0005-0000-0000-000076020000}"/>
    <cellStyle name="Estilo 1 2" xfId="592" xr:uid="{00000000-0005-0000-0000-000077020000}"/>
    <cellStyle name="Estilo 1_Copia de Presupuesto preliminar171208soles" xfId="593" xr:uid="{00000000-0005-0000-0000-000078020000}"/>
    <cellStyle name="Euro" xfId="594" xr:uid="{00000000-0005-0000-0000-000079020000}"/>
    <cellStyle name="Euro 10" xfId="595" xr:uid="{00000000-0005-0000-0000-00007A020000}"/>
    <cellStyle name="Euro 10 2" xfId="596" xr:uid="{00000000-0005-0000-0000-00007B020000}"/>
    <cellStyle name="Euro 10 2 2" xfId="597" xr:uid="{00000000-0005-0000-0000-00007C020000}"/>
    <cellStyle name="Euro 10 2 3" xfId="598" xr:uid="{00000000-0005-0000-0000-00007D020000}"/>
    <cellStyle name="Euro 10 3" xfId="599" xr:uid="{00000000-0005-0000-0000-00007E020000}"/>
    <cellStyle name="Euro 10 3 2" xfId="600" xr:uid="{00000000-0005-0000-0000-00007F020000}"/>
    <cellStyle name="Euro 11" xfId="601" xr:uid="{00000000-0005-0000-0000-000080020000}"/>
    <cellStyle name="Euro 11 2" xfId="602" xr:uid="{00000000-0005-0000-0000-000081020000}"/>
    <cellStyle name="Euro 11 2 2" xfId="603" xr:uid="{00000000-0005-0000-0000-000082020000}"/>
    <cellStyle name="Euro 11 2 3" xfId="604" xr:uid="{00000000-0005-0000-0000-000083020000}"/>
    <cellStyle name="Euro 11 3" xfId="605" xr:uid="{00000000-0005-0000-0000-000084020000}"/>
    <cellStyle name="Euro 11 3 2" xfId="606" xr:uid="{00000000-0005-0000-0000-000085020000}"/>
    <cellStyle name="Euro 11 3 3" xfId="607" xr:uid="{00000000-0005-0000-0000-000086020000}"/>
    <cellStyle name="Euro 11 4" xfId="608" xr:uid="{00000000-0005-0000-0000-000087020000}"/>
    <cellStyle name="Euro 12" xfId="609" xr:uid="{00000000-0005-0000-0000-000088020000}"/>
    <cellStyle name="Euro 12 2" xfId="610" xr:uid="{00000000-0005-0000-0000-000089020000}"/>
    <cellStyle name="Euro 12 3" xfId="611" xr:uid="{00000000-0005-0000-0000-00008A020000}"/>
    <cellStyle name="Euro 12 3 2" xfId="612" xr:uid="{00000000-0005-0000-0000-00008B020000}"/>
    <cellStyle name="Euro 12 3 3" xfId="613" xr:uid="{00000000-0005-0000-0000-00008C020000}"/>
    <cellStyle name="Euro 12 3 4" xfId="614" xr:uid="{00000000-0005-0000-0000-00008D020000}"/>
    <cellStyle name="Euro 12 4" xfId="615" xr:uid="{00000000-0005-0000-0000-00008E020000}"/>
    <cellStyle name="Euro 12 5" xfId="616" xr:uid="{00000000-0005-0000-0000-00008F020000}"/>
    <cellStyle name="Euro 12 6" xfId="617" xr:uid="{00000000-0005-0000-0000-000090020000}"/>
    <cellStyle name="Euro 12 7" xfId="618" xr:uid="{00000000-0005-0000-0000-000091020000}"/>
    <cellStyle name="Euro 12 8" xfId="619" xr:uid="{00000000-0005-0000-0000-000092020000}"/>
    <cellStyle name="Euro 13" xfId="620" xr:uid="{00000000-0005-0000-0000-000093020000}"/>
    <cellStyle name="Euro 13 2" xfId="621" xr:uid="{00000000-0005-0000-0000-000094020000}"/>
    <cellStyle name="Euro 13 3" xfId="622" xr:uid="{00000000-0005-0000-0000-000095020000}"/>
    <cellStyle name="Euro 13 4" xfId="623" xr:uid="{00000000-0005-0000-0000-000096020000}"/>
    <cellStyle name="Euro 13 5" xfId="624" xr:uid="{00000000-0005-0000-0000-000097020000}"/>
    <cellStyle name="Euro 14" xfId="625" xr:uid="{00000000-0005-0000-0000-000098020000}"/>
    <cellStyle name="Euro 14 2" xfId="626" xr:uid="{00000000-0005-0000-0000-000099020000}"/>
    <cellStyle name="Euro 14 3" xfId="627" xr:uid="{00000000-0005-0000-0000-00009A020000}"/>
    <cellStyle name="Euro 15" xfId="628" xr:uid="{00000000-0005-0000-0000-00009B020000}"/>
    <cellStyle name="Euro 16" xfId="629" xr:uid="{00000000-0005-0000-0000-00009C020000}"/>
    <cellStyle name="Euro 16 2" xfId="630" xr:uid="{00000000-0005-0000-0000-00009D020000}"/>
    <cellStyle name="Euro 17" xfId="631" xr:uid="{00000000-0005-0000-0000-00009E020000}"/>
    <cellStyle name="Euro 17 2" xfId="632" xr:uid="{00000000-0005-0000-0000-00009F020000}"/>
    <cellStyle name="Euro 17 3" xfId="633" xr:uid="{00000000-0005-0000-0000-0000A0020000}"/>
    <cellStyle name="Euro 18" xfId="634" xr:uid="{00000000-0005-0000-0000-0000A1020000}"/>
    <cellStyle name="Euro 19" xfId="635" xr:uid="{00000000-0005-0000-0000-0000A2020000}"/>
    <cellStyle name="Euro 19 2" xfId="636" xr:uid="{00000000-0005-0000-0000-0000A3020000}"/>
    <cellStyle name="Euro 2" xfId="637" xr:uid="{00000000-0005-0000-0000-0000A4020000}"/>
    <cellStyle name="Euro 2 2" xfId="638" xr:uid="{00000000-0005-0000-0000-0000A5020000}"/>
    <cellStyle name="Euro 2 2 2" xfId="639" xr:uid="{00000000-0005-0000-0000-0000A6020000}"/>
    <cellStyle name="Euro 2 2 3" xfId="640" xr:uid="{00000000-0005-0000-0000-0000A7020000}"/>
    <cellStyle name="Euro 2 2 4" xfId="641" xr:uid="{00000000-0005-0000-0000-0000A8020000}"/>
    <cellStyle name="Euro 2 3" xfId="642" xr:uid="{00000000-0005-0000-0000-0000A9020000}"/>
    <cellStyle name="Euro 2 3 2" xfId="643" xr:uid="{00000000-0005-0000-0000-0000AA020000}"/>
    <cellStyle name="Euro 2 3 3" xfId="644" xr:uid="{00000000-0005-0000-0000-0000AB020000}"/>
    <cellStyle name="Euro 2 4" xfId="645" xr:uid="{00000000-0005-0000-0000-0000AC020000}"/>
    <cellStyle name="Euro 2 4 2" xfId="646" xr:uid="{00000000-0005-0000-0000-0000AD020000}"/>
    <cellStyle name="Euro 2 5" xfId="647" xr:uid="{00000000-0005-0000-0000-0000AE020000}"/>
    <cellStyle name="Euro 2 6" xfId="648" xr:uid="{00000000-0005-0000-0000-0000AF020000}"/>
    <cellStyle name="Euro 2 7" xfId="649" xr:uid="{00000000-0005-0000-0000-0000B0020000}"/>
    <cellStyle name="Euro 20" xfId="650" xr:uid="{00000000-0005-0000-0000-0000B1020000}"/>
    <cellStyle name="Euro 21" xfId="651" xr:uid="{00000000-0005-0000-0000-0000B2020000}"/>
    <cellStyle name="Euro 3" xfId="652" xr:uid="{00000000-0005-0000-0000-0000B3020000}"/>
    <cellStyle name="Euro 3 2" xfId="653" xr:uid="{00000000-0005-0000-0000-0000B4020000}"/>
    <cellStyle name="Euro 3 2 2" xfId="654" xr:uid="{00000000-0005-0000-0000-0000B5020000}"/>
    <cellStyle name="Euro 3 2 3" xfId="655" xr:uid="{00000000-0005-0000-0000-0000B6020000}"/>
    <cellStyle name="Euro 3 2 4" xfId="656" xr:uid="{00000000-0005-0000-0000-0000B7020000}"/>
    <cellStyle name="Euro 3 3" xfId="657" xr:uid="{00000000-0005-0000-0000-0000B8020000}"/>
    <cellStyle name="Euro 3 3 2" xfId="658" xr:uid="{00000000-0005-0000-0000-0000B9020000}"/>
    <cellStyle name="Euro 3 4" xfId="659" xr:uid="{00000000-0005-0000-0000-0000BA020000}"/>
    <cellStyle name="Euro 3 4 2" xfId="660" xr:uid="{00000000-0005-0000-0000-0000BB020000}"/>
    <cellStyle name="Euro 3 5" xfId="661" xr:uid="{00000000-0005-0000-0000-0000BC020000}"/>
    <cellStyle name="Euro 4" xfId="662" xr:uid="{00000000-0005-0000-0000-0000BD020000}"/>
    <cellStyle name="Euro 4 2" xfId="663" xr:uid="{00000000-0005-0000-0000-0000BE020000}"/>
    <cellStyle name="Euro 4 2 2" xfId="664" xr:uid="{00000000-0005-0000-0000-0000BF020000}"/>
    <cellStyle name="Euro 4 2 3" xfId="665" xr:uid="{00000000-0005-0000-0000-0000C0020000}"/>
    <cellStyle name="Euro 4 2 4" xfId="666" xr:uid="{00000000-0005-0000-0000-0000C1020000}"/>
    <cellStyle name="Euro 4 3" xfId="667" xr:uid="{00000000-0005-0000-0000-0000C2020000}"/>
    <cellStyle name="Euro 4 3 2" xfId="668" xr:uid="{00000000-0005-0000-0000-0000C3020000}"/>
    <cellStyle name="Euro 4 4" xfId="669" xr:uid="{00000000-0005-0000-0000-0000C4020000}"/>
    <cellStyle name="Euro 4 4 2" xfId="670" xr:uid="{00000000-0005-0000-0000-0000C5020000}"/>
    <cellStyle name="Euro 4 5" xfId="671" xr:uid="{00000000-0005-0000-0000-0000C6020000}"/>
    <cellStyle name="Euro 4 5 2" xfId="672" xr:uid="{00000000-0005-0000-0000-0000C7020000}"/>
    <cellStyle name="Euro 4 6" xfId="673" xr:uid="{00000000-0005-0000-0000-0000C8020000}"/>
    <cellStyle name="Euro 4 6 2" xfId="674" xr:uid="{00000000-0005-0000-0000-0000C9020000}"/>
    <cellStyle name="Euro 4 7" xfId="675" xr:uid="{00000000-0005-0000-0000-0000CA020000}"/>
    <cellStyle name="Euro 5" xfId="676" xr:uid="{00000000-0005-0000-0000-0000CB020000}"/>
    <cellStyle name="Euro 5 2" xfId="677" xr:uid="{00000000-0005-0000-0000-0000CC020000}"/>
    <cellStyle name="Euro 5 2 2" xfId="678" xr:uid="{00000000-0005-0000-0000-0000CD020000}"/>
    <cellStyle name="Euro 5 2 3" xfId="679" xr:uid="{00000000-0005-0000-0000-0000CE020000}"/>
    <cellStyle name="Euro 5 2 4" xfId="680" xr:uid="{00000000-0005-0000-0000-0000CF020000}"/>
    <cellStyle name="Euro 5 3" xfId="681" xr:uid="{00000000-0005-0000-0000-0000D0020000}"/>
    <cellStyle name="Euro 5 4" xfId="682" xr:uid="{00000000-0005-0000-0000-0000D1020000}"/>
    <cellStyle name="Euro 5 5" xfId="683" xr:uid="{00000000-0005-0000-0000-0000D2020000}"/>
    <cellStyle name="Euro 5 5 2" xfId="684" xr:uid="{00000000-0005-0000-0000-0000D3020000}"/>
    <cellStyle name="Euro 6" xfId="685" xr:uid="{00000000-0005-0000-0000-0000D4020000}"/>
    <cellStyle name="Euro 6 2" xfId="686" xr:uid="{00000000-0005-0000-0000-0000D5020000}"/>
    <cellStyle name="Euro 6 2 2" xfId="687" xr:uid="{00000000-0005-0000-0000-0000D6020000}"/>
    <cellStyle name="Euro 6 2 3" xfId="688" xr:uid="{00000000-0005-0000-0000-0000D7020000}"/>
    <cellStyle name="Euro 6 2 4" xfId="689" xr:uid="{00000000-0005-0000-0000-0000D8020000}"/>
    <cellStyle name="Euro 6 3" xfId="690" xr:uid="{00000000-0005-0000-0000-0000D9020000}"/>
    <cellStyle name="Euro 6 4" xfId="691" xr:uid="{00000000-0005-0000-0000-0000DA020000}"/>
    <cellStyle name="Euro 6 5" xfId="692" xr:uid="{00000000-0005-0000-0000-0000DB020000}"/>
    <cellStyle name="Euro 6 5 2" xfId="693" xr:uid="{00000000-0005-0000-0000-0000DC020000}"/>
    <cellStyle name="Euro 7" xfId="694" xr:uid="{00000000-0005-0000-0000-0000DD020000}"/>
    <cellStyle name="Euro 7 2" xfId="695" xr:uid="{00000000-0005-0000-0000-0000DE020000}"/>
    <cellStyle name="Euro 7 2 2" xfId="696" xr:uid="{00000000-0005-0000-0000-0000DF020000}"/>
    <cellStyle name="Euro 7 2 3" xfId="697" xr:uid="{00000000-0005-0000-0000-0000E0020000}"/>
    <cellStyle name="Euro 7 2 4" xfId="698" xr:uid="{00000000-0005-0000-0000-0000E1020000}"/>
    <cellStyle name="Euro 7 3" xfId="699" xr:uid="{00000000-0005-0000-0000-0000E2020000}"/>
    <cellStyle name="Euro 7 4" xfId="700" xr:uid="{00000000-0005-0000-0000-0000E3020000}"/>
    <cellStyle name="Euro 7 4 2" xfId="701" xr:uid="{00000000-0005-0000-0000-0000E4020000}"/>
    <cellStyle name="Euro 8" xfId="702" xr:uid="{00000000-0005-0000-0000-0000E5020000}"/>
    <cellStyle name="Euro 8 2" xfId="703" xr:uid="{00000000-0005-0000-0000-0000E6020000}"/>
    <cellStyle name="Euro 8 2 2" xfId="704" xr:uid="{00000000-0005-0000-0000-0000E7020000}"/>
    <cellStyle name="Euro 8 2 3" xfId="705" xr:uid="{00000000-0005-0000-0000-0000E8020000}"/>
    <cellStyle name="Euro 8 2 4" xfId="706" xr:uid="{00000000-0005-0000-0000-0000E9020000}"/>
    <cellStyle name="Euro 8 3" xfId="707" xr:uid="{00000000-0005-0000-0000-0000EA020000}"/>
    <cellStyle name="Euro 8 3 2" xfId="708" xr:uid="{00000000-0005-0000-0000-0000EB020000}"/>
    <cellStyle name="Euro 8 4" xfId="709" xr:uid="{00000000-0005-0000-0000-0000EC020000}"/>
    <cellStyle name="Euro 8 5" xfId="710" xr:uid="{00000000-0005-0000-0000-0000ED020000}"/>
    <cellStyle name="Euro 8 5 2" xfId="711" xr:uid="{00000000-0005-0000-0000-0000EE020000}"/>
    <cellStyle name="Euro 9" xfId="712" xr:uid="{00000000-0005-0000-0000-0000EF020000}"/>
    <cellStyle name="Euro 9 2" xfId="713" xr:uid="{00000000-0005-0000-0000-0000F0020000}"/>
    <cellStyle name="Euro 9 2 2" xfId="714" xr:uid="{00000000-0005-0000-0000-0000F1020000}"/>
    <cellStyle name="Euro 9 2 3" xfId="715" xr:uid="{00000000-0005-0000-0000-0000F2020000}"/>
    <cellStyle name="Euro 9 2 4" xfId="716" xr:uid="{00000000-0005-0000-0000-0000F3020000}"/>
    <cellStyle name="Euro 9 3" xfId="717" xr:uid="{00000000-0005-0000-0000-0000F4020000}"/>
    <cellStyle name="Euro 9 4" xfId="718" xr:uid="{00000000-0005-0000-0000-0000F5020000}"/>
    <cellStyle name="Euro 9 4 2" xfId="719" xr:uid="{00000000-0005-0000-0000-0000F6020000}"/>
    <cellStyle name="Euro_Cálculo de Beneficios Sociales" xfId="720" xr:uid="{00000000-0005-0000-0000-0000F7020000}"/>
    <cellStyle name="Explanatory Text" xfId="8" xr:uid="{00000000-0005-0000-0000-0000F8020000}"/>
    <cellStyle name="F2" xfId="721" xr:uid="{00000000-0005-0000-0000-0000F9020000}"/>
    <cellStyle name="F3" xfId="722" xr:uid="{00000000-0005-0000-0000-0000FA020000}"/>
    <cellStyle name="F4" xfId="723" xr:uid="{00000000-0005-0000-0000-0000FB020000}"/>
    <cellStyle name="F5" xfId="724" xr:uid="{00000000-0005-0000-0000-0000FC020000}"/>
    <cellStyle name="F6" xfId="725" xr:uid="{00000000-0005-0000-0000-0000FD020000}"/>
    <cellStyle name="F7" xfId="726" xr:uid="{00000000-0005-0000-0000-0000FE020000}"/>
    <cellStyle name="F8" xfId="727" xr:uid="{00000000-0005-0000-0000-0000FF020000}"/>
    <cellStyle name="Fixed" xfId="728" xr:uid="{00000000-0005-0000-0000-000000030000}"/>
    <cellStyle name="Good 2" xfId="730" xr:uid="{00000000-0005-0000-0000-000002030000}"/>
    <cellStyle name="Grey" xfId="731" xr:uid="{00000000-0005-0000-0000-000004030000}"/>
    <cellStyle name="Grey 2" xfId="732" xr:uid="{00000000-0005-0000-0000-000005030000}"/>
    <cellStyle name="Header1" xfId="733" xr:uid="{00000000-0005-0000-0000-000006030000}"/>
    <cellStyle name="Header2" xfId="734" xr:uid="{00000000-0005-0000-0000-000007030000}"/>
    <cellStyle name="Header2 2" xfId="2788" xr:uid="{00000000-0005-0000-0000-000008030000}"/>
    <cellStyle name="Header2 3" xfId="2811" xr:uid="{00000000-0005-0000-0000-000009030000}"/>
    <cellStyle name="Header2 4" xfId="2786" xr:uid="{00000000-0005-0000-0000-00000A030000}"/>
    <cellStyle name="Heading 1" xfId="735" xr:uid="{00000000-0005-0000-0000-00000B030000}"/>
    <cellStyle name="Heading 1 2" xfId="736" xr:uid="{00000000-0005-0000-0000-00000C030000}"/>
    <cellStyle name="Heading 1_Cálculo de Beneficios Sociales" xfId="737" xr:uid="{00000000-0005-0000-0000-00000D030000}"/>
    <cellStyle name="Heading 2" xfId="2" xr:uid="{00000000-0005-0000-0000-00000E030000}"/>
    <cellStyle name="Heading 2 2" xfId="738" xr:uid="{00000000-0005-0000-0000-00000F030000}"/>
    <cellStyle name="Heading 2_Cálculo de Beneficios Sociales" xfId="739" xr:uid="{00000000-0005-0000-0000-000010030000}"/>
    <cellStyle name="Heading 3" xfId="3" xr:uid="{00000000-0005-0000-0000-000011030000}"/>
    <cellStyle name="Heading 3 2" xfId="740" xr:uid="{00000000-0005-0000-0000-000012030000}"/>
    <cellStyle name="Heading 3_Cálculo de Beneficios Sociales" xfId="741" xr:uid="{00000000-0005-0000-0000-000013030000}"/>
    <cellStyle name="Heading 4 2" xfId="743" xr:uid="{00000000-0005-0000-0000-000015030000}"/>
    <cellStyle name="Hipervínculo 2" xfId="744" xr:uid="{00000000-0005-0000-0000-000017030000}"/>
    <cellStyle name="Incorrecto 2" xfId="745" xr:uid="{00000000-0005-0000-0000-000019030000}"/>
    <cellStyle name="Incorrecto 2 2" xfId="746" xr:uid="{00000000-0005-0000-0000-00001A030000}"/>
    <cellStyle name="Incorrecto 2 3" xfId="747" xr:uid="{00000000-0005-0000-0000-00001B030000}"/>
    <cellStyle name="Input [yellow]" xfId="749" xr:uid="{00000000-0005-0000-0000-00001D030000}"/>
    <cellStyle name="Input [yellow] 2" xfId="2794" xr:uid="{00000000-0005-0000-0000-00001E030000}"/>
    <cellStyle name="Input [yellow] 3" xfId="2805" xr:uid="{00000000-0005-0000-0000-00001F030000}"/>
    <cellStyle name="Input [yellow] 4" xfId="2790" xr:uid="{00000000-0005-0000-0000-000020030000}"/>
    <cellStyle name="Input 10" xfId="2813" xr:uid="{00000000-0005-0000-0000-000021030000}"/>
    <cellStyle name="Input 11" xfId="2797" xr:uid="{00000000-0005-0000-0000-000022030000}"/>
    <cellStyle name="Input 12" xfId="2809" xr:uid="{00000000-0005-0000-0000-000023030000}"/>
    <cellStyle name="Input 2" xfId="750" xr:uid="{00000000-0005-0000-0000-000024030000}"/>
    <cellStyle name="Input 2 2" xfId="2795" xr:uid="{00000000-0005-0000-0000-000025030000}"/>
    <cellStyle name="Input 2 3" xfId="2804" xr:uid="{00000000-0005-0000-0000-000026030000}"/>
    <cellStyle name="Input 3" xfId="2793" xr:uid="{00000000-0005-0000-0000-000027030000}"/>
    <cellStyle name="Input 4" xfId="2806" xr:uid="{00000000-0005-0000-0000-000028030000}"/>
    <cellStyle name="Input 5" xfId="2789" xr:uid="{00000000-0005-0000-0000-000029030000}"/>
    <cellStyle name="Input 6" xfId="2810" xr:uid="{00000000-0005-0000-0000-00002A030000}"/>
    <cellStyle name="Input 7" xfId="2787" xr:uid="{00000000-0005-0000-0000-00002B030000}"/>
    <cellStyle name="Input 8" xfId="2802" xr:uid="{00000000-0005-0000-0000-00002C030000}"/>
    <cellStyle name="Input 9" xfId="2796" xr:uid="{00000000-0005-0000-0000-00002D030000}"/>
    <cellStyle name="Input Cells" xfId="751" xr:uid="{00000000-0005-0000-0000-00002E030000}"/>
    <cellStyle name="Linked Cell 2" xfId="753" xr:uid="{00000000-0005-0000-0000-000031030000}"/>
    <cellStyle name="Linked Cells" xfId="754" xr:uid="{00000000-0005-0000-0000-000033030000}"/>
    <cellStyle name="Millares" xfId="1" builtinId="3"/>
    <cellStyle name="Millares [0] 2" xfId="756" xr:uid="{00000000-0005-0000-0000-000035030000}"/>
    <cellStyle name="Millares 10" xfId="757" xr:uid="{00000000-0005-0000-0000-000036030000}"/>
    <cellStyle name="Millares 100" xfId="758" xr:uid="{00000000-0005-0000-0000-000037030000}"/>
    <cellStyle name="Millares 101" xfId="759" xr:uid="{00000000-0005-0000-0000-000038030000}"/>
    <cellStyle name="Millares 102" xfId="760" xr:uid="{00000000-0005-0000-0000-000039030000}"/>
    <cellStyle name="Millares 103" xfId="761" xr:uid="{00000000-0005-0000-0000-00003A030000}"/>
    <cellStyle name="Millares 104" xfId="762" xr:uid="{00000000-0005-0000-0000-00003B030000}"/>
    <cellStyle name="Millares 105" xfId="763" xr:uid="{00000000-0005-0000-0000-00003C030000}"/>
    <cellStyle name="Millares 106" xfId="764" xr:uid="{00000000-0005-0000-0000-00003D030000}"/>
    <cellStyle name="Millares 107" xfId="765" xr:uid="{00000000-0005-0000-0000-00003E030000}"/>
    <cellStyle name="Millares 108" xfId="766" xr:uid="{00000000-0005-0000-0000-00003F030000}"/>
    <cellStyle name="Millares 109" xfId="767" xr:uid="{00000000-0005-0000-0000-000040030000}"/>
    <cellStyle name="Millares 11" xfId="768" xr:uid="{00000000-0005-0000-0000-000041030000}"/>
    <cellStyle name="Millares 110" xfId="769" xr:uid="{00000000-0005-0000-0000-000042030000}"/>
    <cellStyle name="Millares 111" xfId="770" xr:uid="{00000000-0005-0000-0000-000043030000}"/>
    <cellStyle name="Millares 112" xfId="771" xr:uid="{00000000-0005-0000-0000-000044030000}"/>
    <cellStyle name="Millares 113" xfId="772" xr:uid="{00000000-0005-0000-0000-000045030000}"/>
    <cellStyle name="Millares 114" xfId="773" xr:uid="{00000000-0005-0000-0000-000046030000}"/>
    <cellStyle name="Millares 115" xfId="774" xr:uid="{00000000-0005-0000-0000-000047030000}"/>
    <cellStyle name="Millares 116" xfId="775" xr:uid="{00000000-0005-0000-0000-000048030000}"/>
    <cellStyle name="Millares 117" xfId="776" xr:uid="{00000000-0005-0000-0000-000049030000}"/>
    <cellStyle name="Millares 118" xfId="777" xr:uid="{00000000-0005-0000-0000-00004A030000}"/>
    <cellStyle name="Millares 119" xfId="778" xr:uid="{00000000-0005-0000-0000-00004B030000}"/>
    <cellStyle name="Millares 12" xfId="779" xr:uid="{00000000-0005-0000-0000-00004C030000}"/>
    <cellStyle name="Millares 120" xfId="780" xr:uid="{00000000-0005-0000-0000-00004D030000}"/>
    <cellStyle name="Millares 121" xfId="781" xr:uid="{00000000-0005-0000-0000-00004E030000}"/>
    <cellStyle name="Millares 122" xfId="782" xr:uid="{00000000-0005-0000-0000-00004F030000}"/>
    <cellStyle name="Millares 123" xfId="783" xr:uid="{00000000-0005-0000-0000-000050030000}"/>
    <cellStyle name="Millares 124" xfId="784" xr:uid="{00000000-0005-0000-0000-000051030000}"/>
    <cellStyle name="Millares 125" xfId="785" xr:uid="{00000000-0005-0000-0000-000052030000}"/>
    <cellStyle name="Millares 126" xfId="786" xr:uid="{00000000-0005-0000-0000-000053030000}"/>
    <cellStyle name="Millares 127" xfId="787" xr:uid="{00000000-0005-0000-0000-000054030000}"/>
    <cellStyle name="Millares 128" xfId="788" xr:uid="{00000000-0005-0000-0000-000055030000}"/>
    <cellStyle name="Millares 129" xfId="789" xr:uid="{00000000-0005-0000-0000-000056030000}"/>
    <cellStyle name="Millares 13" xfId="790" xr:uid="{00000000-0005-0000-0000-000057030000}"/>
    <cellStyle name="Millares 130" xfId="791" xr:uid="{00000000-0005-0000-0000-000058030000}"/>
    <cellStyle name="Millares 131" xfId="792" xr:uid="{00000000-0005-0000-0000-000059030000}"/>
    <cellStyle name="Millares 132" xfId="793" xr:uid="{00000000-0005-0000-0000-00005A030000}"/>
    <cellStyle name="Millares 133" xfId="794" xr:uid="{00000000-0005-0000-0000-00005B030000}"/>
    <cellStyle name="Millares 133 2" xfId="795" xr:uid="{00000000-0005-0000-0000-00005C030000}"/>
    <cellStyle name="Millares 134" xfId="796" xr:uid="{00000000-0005-0000-0000-00005D030000}"/>
    <cellStyle name="Millares 135" xfId="797" xr:uid="{00000000-0005-0000-0000-00005E030000}"/>
    <cellStyle name="Millares 136" xfId="798" xr:uid="{00000000-0005-0000-0000-00005F030000}"/>
    <cellStyle name="Millares 137" xfId="799" xr:uid="{00000000-0005-0000-0000-000060030000}"/>
    <cellStyle name="Millares 138" xfId="800" xr:uid="{00000000-0005-0000-0000-000061030000}"/>
    <cellStyle name="Millares 139" xfId="801" xr:uid="{00000000-0005-0000-0000-000062030000}"/>
    <cellStyle name="Millares 14" xfId="802" xr:uid="{00000000-0005-0000-0000-000063030000}"/>
    <cellStyle name="Millares 140" xfId="803" xr:uid="{00000000-0005-0000-0000-000064030000}"/>
    <cellStyle name="Millares 141" xfId="804" xr:uid="{00000000-0005-0000-0000-000065030000}"/>
    <cellStyle name="Millares 142" xfId="805" xr:uid="{00000000-0005-0000-0000-000066030000}"/>
    <cellStyle name="Millares 143" xfId="806" xr:uid="{00000000-0005-0000-0000-000067030000}"/>
    <cellStyle name="Millares 144" xfId="807" xr:uid="{00000000-0005-0000-0000-000068030000}"/>
    <cellStyle name="Millares 145" xfId="808" xr:uid="{00000000-0005-0000-0000-000069030000}"/>
    <cellStyle name="Millares 146" xfId="809" xr:uid="{00000000-0005-0000-0000-00006A030000}"/>
    <cellStyle name="Millares 147" xfId="810" xr:uid="{00000000-0005-0000-0000-00006B030000}"/>
    <cellStyle name="Millares 148" xfId="811" xr:uid="{00000000-0005-0000-0000-00006C030000}"/>
    <cellStyle name="Millares 149" xfId="812" xr:uid="{00000000-0005-0000-0000-00006D030000}"/>
    <cellStyle name="Millares 15" xfId="813" xr:uid="{00000000-0005-0000-0000-00006E030000}"/>
    <cellStyle name="Millares 150" xfId="814" xr:uid="{00000000-0005-0000-0000-00006F030000}"/>
    <cellStyle name="Millares 151" xfId="815" xr:uid="{00000000-0005-0000-0000-000070030000}"/>
    <cellStyle name="Millares 152" xfId="816" xr:uid="{00000000-0005-0000-0000-000071030000}"/>
    <cellStyle name="Millares 153" xfId="817" xr:uid="{00000000-0005-0000-0000-000072030000}"/>
    <cellStyle name="Millares 154" xfId="818" xr:uid="{00000000-0005-0000-0000-000073030000}"/>
    <cellStyle name="Millares 155" xfId="819" xr:uid="{00000000-0005-0000-0000-000074030000}"/>
    <cellStyle name="Millares 156" xfId="820" xr:uid="{00000000-0005-0000-0000-000075030000}"/>
    <cellStyle name="Millares 157" xfId="821" xr:uid="{00000000-0005-0000-0000-000076030000}"/>
    <cellStyle name="Millares 158" xfId="822" xr:uid="{00000000-0005-0000-0000-000077030000}"/>
    <cellStyle name="Millares 159" xfId="823" xr:uid="{00000000-0005-0000-0000-000078030000}"/>
    <cellStyle name="Millares 16" xfId="824" xr:uid="{00000000-0005-0000-0000-000079030000}"/>
    <cellStyle name="Millares 160" xfId="825" xr:uid="{00000000-0005-0000-0000-00007A030000}"/>
    <cellStyle name="Millares 161" xfId="826" xr:uid="{00000000-0005-0000-0000-00007B030000}"/>
    <cellStyle name="Millares 162" xfId="827" xr:uid="{00000000-0005-0000-0000-00007C030000}"/>
    <cellStyle name="Millares 163" xfId="828" xr:uid="{00000000-0005-0000-0000-00007D030000}"/>
    <cellStyle name="Millares 164" xfId="829" xr:uid="{00000000-0005-0000-0000-00007E030000}"/>
    <cellStyle name="Millares 165" xfId="830" xr:uid="{00000000-0005-0000-0000-00007F030000}"/>
    <cellStyle name="Millares 166" xfId="831" xr:uid="{00000000-0005-0000-0000-000080030000}"/>
    <cellStyle name="Millares 167" xfId="832" xr:uid="{00000000-0005-0000-0000-000081030000}"/>
    <cellStyle name="Millares 168" xfId="833" xr:uid="{00000000-0005-0000-0000-000082030000}"/>
    <cellStyle name="Millares 169" xfId="834" xr:uid="{00000000-0005-0000-0000-000083030000}"/>
    <cellStyle name="Millares 17" xfId="835" xr:uid="{00000000-0005-0000-0000-000084030000}"/>
    <cellStyle name="Millares 170" xfId="836" xr:uid="{00000000-0005-0000-0000-000085030000}"/>
    <cellStyle name="Millares 171" xfId="837" xr:uid="{00000000-0005-0000-0000-000086030000}"/>
    <cellStyle name="Millares 172" xfId="838" xr:uid="{00000000-0005-0000-0000-000087030000}"/>
    <cellStyle name="Millares 173" xfId="839" xr:uid="{00000000-0005-0000-0000-000088030000}"/>
    <cellStyle name="Millares 174" xfId="840" xr:uid="{00000000-0005-0000-0000-000089030000}"/>
    <cellStyle name="Millares 175" xfId="841" xr:uid="{00000000-0005-0000-0000-00008A030000}"/>
    <cellStyle name="Millares 176" xfId="842" xr:uid="{00000000-0005-0000-0000-00008B030000}"/>
    <cellStyle name="Millares 177" xfId="843" xr:uid="{00000000-0005-0000-0000-00008C030000}"/>
    <cellStyle name="Millares 178" xfId="844" xr:uid="{00000000-0005-0000-0000-00008D030000}"/>
    <cellStyle name="Millares 179" xfId="845" xr:uid="{00000000-0005-0000-0000-00008E030000}"/>
    <cellStyle name="Millares 18" xfId="846" xr:uid="{00000000-0005-0000-0000-00008F030000}"/>
    <cellStyle name="Millares 180" xfId="847" xr:uid="{00000000-0005-0000-0000-000090030000}"/>
    <cellStyle name="Millares 181" xfId="848" xr:uid="{00000000-0005-0000-0000-000091030000}"/>
    <cellStyle name="Millares 182" xfId="849" xr:uid="{00000000-0005-0000-0000-000092030000}"/>
    <cellStyle name="Millares 183" xfId="850" xr:uid="{00000000-0005-0000-0000-000093030000}"/>
    <cellStyle name="Millares 184" xfId="851" xr:uid="{00000000-0005-0000-0000-000094030000}"/>
    <cellStyle name="Millares 185" xfId="852" xr:uid="{00000000-0005-0000-0000-000095030000}"/>
    <cellStyle name="Millares 186" xfId="853" xr:uid="{00000000-0005-0000-0000-000096030000}"/>
    <cellStyle name="Millares 187" xfId="854" xr:uid="{00000000-0005-0000-0000-000097030000}"/>
    <cellStyle name="Millares 188" xfId="855" xr:uid="{00000000-0005-0000-0000-000098030000}"/>
    <cellStyle name="Millares 189" xfId="856" xr:uid="{00000000-0005-0000-0000-000099030000}"/>
    <cellStyle name="Millares 19" xfId="857" xr:uid="{00000000-0005-0000-0000-00009A030000}"/>
    <cellStyle name="Millares 190" xfId="858" xr:uid="{00000000-0005-0000-0000-00009B030000}"/>
    <cellStyle name="Millares 191" xfId="859" xr:uid="{00000000-0005-0000-0000-00009C030000}"/>
    <cellStyle name="Millares 192" xfId="860" xr:uid="{00000000-0005-0000-0000-00009D030000}"/>
    <cellStyle name="Millares 193" xfId="861" xr:uid="{00000000-0005-0000-0000-00009E030000}"/>
    <cellStyle name="Millares 194" xfId="862" xr:uid="{00000000-0005-0000-0000-00009F030000}"/>
    <cellStyle name="Millares 195" xfId="863" xr:uid="{00000000-0005-0000-0000-0000A0030000}"/>
    <cellStyle name="Millares 196" xfId="864" xr:uid="{00000000-0005-0000-0000-0000A1030000}"/>
    <cellStyle name="Millares 197" xfId="865" xr:uid="{00000000-0005-0000-0000-0000A2030000}"/>
    <cellStyle name="Millares 198" xfId="866" xr:uid="{00000000-0005-0000-0000-0000A3030000}"/>
    <cellStyle name="Millares 199" xfId="867" xr:uid="{00000000-0005-0000-0000-0000A4030000}"/>
    <cellStyle name="Millares 2" xfId="868" xr:uid="{00000000-0005-0000-0000-0000A5030000}"/>
    <cellStyle name="Millares 2 2" xfId="869" xr:uid="{00000000-0005-0000-0000-0000A6030000}"/>
    <cellStyle name="Millares 2 2 2" xfId="870" xr:uid="{00000000-0005-0000-0000-0000A7030000}"/>
    <cellStyle name="Millares 2 2 2 2" xfId="871" xr:uid="{00000000-0005-0000-0000-0000A8030000}"/>
    <cellStyle name="Millares 2 2 2 2 2" xfId="872" xr:uid="{00000000-0005-0000-0000-0000A9030000}"/>
    <cellStyle name="Millares 2 2 2 3" xfId="873" xr:uid="{00000000-0005-0000-0000-0000AA030000}"/>
    <cellStyle name="Millares 2 2 3" xfId="874" xr:uid="{00000000-0005-0000-0000-0000AB030000}"/>
    <cellStyle name="Millares 2 2 3 2" xfId="875" xr:uid="{00000000-0005-0000-0000-0000AC030000}"/>
    <cellStyle name="Millares 2 2 4" xfId="876" xr:uid="{00000000-0005-0000-0000-0000AD030000}"/>
    <cellStyle name="Millares 2 2 5" xfId="877" xr:uid="{00000000-0005-0000-0000-0000AE030000}"/>
    <cellStyle name="Millares 2 3" xfId="878" xr:uid="{00000000-0005-0000-0000-0000AF030000}"/>
    <cellStyle name="Millares 2 3 2" xfId="879" xr:uid="{00000000-0005-0000-0000-0000B0030000}"/>
    <cellStyle name="Millares 2 4" xfId="880" xr:uid="{00000000-0005-0000-0000-0000B1030000}"/>
    <cellStyle name="Millares 2 5" xfId="881" xr:uid="{00000000-0005-0000-0000-0000B2030000}"/>
    <cellStyle name="Millares 2 5 2" xfId="882" xr:uid="{00000000-0005-0000-0000-0000B3030000}"/>
    <cellStyle name="Millares 2 6" xfId="883" xr:uid="{00000000-0005-0000-0000-0000B4030000}"/>
    <cellStyle name="Millares 20" xfId="884" xr:uid="{00000000-0005-0000-0000-0000B5030000}"/>
    <cellStyle name="Millares 200" xfId="885" xr:uid="{00000000-0005-0000-0000-0000B6030000}"/>
    <cellStyle name="Millares 201" xfId="886" xr:uid="{00000000-0005-0000-0000-0000B7030000}"/>
    <cellStyle name="Millares 202" xfId="887" xr:uid="{00000000-0005-0000-0000-0000B8030000}"/>
    <cellStyle name="Millares 203" xfId="888" xr:uid="{00000000-0005-0000-0000-0000B9030000}"/>
    <cellStyle name="Millares 204" xfId="889" xr:uid="{00000000-0005-0000-0000-0000BA030000}"/>
    <cellStyle name="Millares 205" xfId="890" xr:uid="{00000000-0005-0000-0000-0000BB030000}"/>
    <cellStyle name="Millares 206" xfId="891" xr:uid="{00000000-0005-0000-0000-0000BC030000}"/>
    <cellStyle name="Millares 207" xfId="892" xr:uid="{00000000-0005-0000-0000-0000BD030000}"/>
    <cellStyle name="Millares 208" xfId="893" xr:uid="{00000000-0005-0000-0000-0000BE030000}"/>
    <cellStyle name="Millares 209" xfId="894" xr:uid="{00000000-0005-0000-0000-0000BF030000}"/>
    <cellStyle name="Millares 21" xfId="895" xr:uid="{00000000-0005-0000-0000-0000C0030000}"/>
    <cellStyle name="Millares 210" xfId="896" xr:uid="{00000000-0005-0000-0000-0000C1030000}"/>
    <cellStyle name="Millares 211" xfId="897" xr:uid="{00000000-0005-0000-0000-0000C2030000}"/>
    <cellStyle name="Millares 212" xfId="898" xr:uid="{00000000-0005-0000-0000-0000C3030000}"/>
    <cellStyle name="Millares 213" xfId="899" xr:uid="{00000000-0005-0000-0000-0000C4030000}"/>
    <cellStyle name="Millares 214" xfId="900" xr:uid="{00000000-0005-0000-0000-0000C5030000}"/>
    <cellStyle name="Millares 215" xfId="901" xr:uid="{00000000-0005-0000-0000-0000C6030000}"/>
    <cellStyle name="Millares 216" xfId="902" xr:uid="{00000000-0005-0000-0000-0000C7030000}"/>
    <cellStyle name="Millares 217" xfId="903" xr:uid="{00000000-0005-0000-0000-0000C8030000}"/>
    <cellStyle name="Millares 218" xfId="904" xr:uid="{00000000-0005-0000-0000-0000C9030000}"/>
    <cellStyle name="Millares 219" xfId="905" xr:uid="{00000000-0005-0000-0000-0000CA030000}"/>
    <cellStyle name="Millares 22" xfId="906" xr:uid="{00000000-0005-0000-0000-0000CB030000}"/>
    <cellStyle name="Millares 220" xfId="907" xr:uid="{00000000-0005-0000-0000-0000CC030000}"/>
    <cellStyle name="Millares 221" xfId="908" xr:uid="{00000000-0005-0000-0000-0000CD030000}"/>
    <cellStyle name="Millares 222" xfId="909" xr:uid="{00000000-0005-0000-0000-0000CE030000}"/>
    <cellStyle name="Millares 223" xfId="910" xr:uid="{00000000-0005-0000-0000-0000CF030000}"/>
    <cellStyle name="Millares 224" xfId="911" xr:uid="{00000000-0005-0000-0000-0000D0030000}"/>
    <cellStyle name="Millares 225" xfId="912" xr:uid="{00000000-0005-0000-0000-0000D1030000}"/>
    <cellStyle name="Millares 226" xfId="913" xr:uid="{00000000-0005-0000-0000-0000D2030000}"/>
    <cellStyle name="Millares 227" xfId="914" xr:uid="{00000000-0005-0000-0000-0000D3030000}"/>
    <cellStyle name="Millares 228" xfId="915" xr:uid="{00000000-0005-0000-0000-0000D4030000}"/>
    <cellStyle name="Millares 229" xfId="916" xr:uid="{00000000-0005-0000-0000-0000D5030000}"/>
    <cellStyle name="Millares 23" xfId="917" xr:uid="{00000000-0005-0000-0000-0000D6030000}"/>
    <cellStyle name="Millares 230" xfId="918" xr:uid="{00000000-0005-0000-0000-0000D7030000}"/>
    <cellStyle name="Millares 231" xfId="919" xr:uid="{00000000-0005-0000-0000-0000D8030000}"/>
    <cellStyle name="Millares 232" xfId="920" xr:uid="{00000000-0005-0000-0000-0000D9030000}"/>
    <cellStyle name="Millares 233" xfId="921" xr:uid="{00000000-0005-0000-0000-0000DA030000}"/>
    <cellStyle name="Millares 234" xfId="922" xr:uid="{00000000-0005-0000-0000-0000DB030000}"/>
    <cellStyle name="Millares 235" xfId="923" xr:uid="{00000000-0005-0000-0000-0000DC030000}"/>
    <cellStyle name="Millares 236" xfId="924" xr:uid="{00000000-0005-0000-0000-0000DD030000}"/>
    <cellStyle name="Millares 237" xfId="925" xr:uid="{00000000-0005-0000-0000-0000DE030000}"/>
    <cellStyle name="Millares 238" xfId="926" xr:uid="{00000000-0005-0000-0000-0000DF030000}"/>
    <cellStyle name="Millares 239" xfId="927" xr:uid="{00000000-0005-0000-0000-0000E0030000}"/>
    <cellStyle name="Millares 24" xfId="928" xr:uid="{00000000-0005-0000-0000-0000E1030000}"/>
    <cellStyle name="Millares 240" xfId="929" xr:uid="{00000000-0005-0000-0000-0000E2030000}"/>
    <cellStyle name="Millares 241" xfId="930" xr:uid="{00000000-0005-0000-0000-0000E3030000}"/>
    <cellStyle name="Millares 242" xfId="755" xr:uid="{00000000-0005-0000-0000-0000E4030000}"/>
    <cellStyle name="Millares 243" xfId="2798" xr:uid="{00000000-0005-0000-0000-0000E5030000}"/>
    <cellStyle name="Millares 244" xfId="2803" xr:uid="{00000000-0005-0000-0000-0000E6030000}"/>
    <cellStyle name="Millares 245" xfId="2792" xr:uid="{00000000-0005-0000-0000-0000E7030000}"/>
    <cellStyle name="Millares 246" xfId="2808" xr:uid="{00000000-0005-0000-0000-0000E8030000}"/>
    <cellStyle name="Millares 247" xfId="2791" xr:uid="{00000000-0005-0000-0000-0000E9030000}"/>
    <cellStyle name="Millares 248" xfId="2801" xr:uid="{00000000-0005-0000-0000-0000EA030000}"/>
    <cellStyle name="Millares 249" xfId="2799" xr:uid="{00000000-0005-0000-0000-0000EB030000}"/>
    <cellStyle name="Millares 25" xfId="931" xr:uid="{00000000-0005-0000-0000-0000EC030000}"/>
    <cellStyle name="Millares 250" xfId="2812" xr:uid="{00000000-0005-0000-0000-0000ED030000}"/>
    <cellStyle name="Millares 251" xfId="2800" xr:uid="{00000000-0005-0000-0000-0000EE030000}"/>
    <cellStyle name="Millares 252" xfId="2807" xr:uid="{00000000-0005-0000-0000-0000EF030000}"/>
    <cellStyle name="Millares 26" xfId="932" xr:uid="{00000000-0005-0000-0000-0000F0030000}"/>
    <cellStyle name="Millares 27" xfId="933" xr:uid="{00000000-0005-0000-0000-0000F1030000}"/>
    <cellStyle name="Millares 28" xfId="934" xr:uid="{00000000-0005-0000-0000-0000F2030000}"/>
    <cellStyle name="Millares 29" xfId="935" xr:uid="{00000000-0005-0000-0000-0000F3030000}"/>
    <cellStyle name="Millares 3" xfId="936" xr:uid="{00000000-0005-0000-0000-0000F4030000}"/>
    <cellStyle name="Millares 3 2" xfId="937" xr:uid="{00000000-0005-0000-0000-0000F5030000}"/>
    <cellStyle name="Millares 3 3" xfId="938" xr:uid="{00000000-0005-0000-0000-0000F6030000}"/>
    <cellStyle name="Millares 3 4" xfId="939" xr:uid="{00000000-0005-0000-0000-0000F7030000}"/>
    <cellStyle name="Millares 30" xfId="940" xr:uid="{00000000-0005-0000-0000-0000F8030000}"/>
    <cellStyle name="Millares 31" xfId="941" xr:uid="{00000000-0005-0000-0000-0000F9030000}"/>
    <cellStyle name="Millares 32" xfId="942" xr:uid="{00000000-0005-0000-0000-0000FA030000}"/>
    <cellStyle name="Millares 32 2" xfId="943" xr:uid="{00000000-0005-0000-0000-0000FB030000}"/>
    <cellStyle name="Millares 32 2 2" xfId="944" xr:uid="{00000000-0005-0000-0000-0000FC030000}"/>
    <cellStyle name="Millares 32 3" xfId="945" xr:uid="{00000000-0005-0000-0000-0000FD030000}"/>
    <cellStyle name="Millares 32 3 2" xfId="946" xr:uid="{00000000-0005-0000-0000-0000FE030000}"/>
    <cellStyle name="Millares 32 4" xfId="947" xr:uid="{00000000-0005-0000-0000-0000FF030000}"/>
    <cellStyle name="Millares 32 4 2" xfId="948" xr:uid="{00000000-0005-0000-0000-000000040000}"/>
    <cellStyle name="Millares 32 5" xfId="949" xr:uid="{00000000-0005-0000-0000-000001040000}"/>
    <cellStyle name="Millares 32 5 2" xfId="950" xr:uid="{00000000-0005-0000-0000-000002040000}"/>
    <cellStyle name="Millares 32 6" xfId="951" xr:uid="{00000000-0005-0000-0000-000003040000}"/>
    <cellStyle name="Millares 33" xfId="952" xr:uid="{00000000-0005-0000-0000-000004040000}"/>
    <cellStyle name="Millares 33 2" xfId="953" xr:uid="{00000000-0005-0000-0000-000005040000}"/>
    <cellStyle name="Millares 33 2 2" xfId="954" xr:uid="{00000000-0005-0000-0000-000006040000}"/>
    <cellStyle name="Millares 33 3" xfId="955" xr:uid="{00000000-0005-0000-0000-000007040000}"/>
    <cellStyle name="Millares 33 3 2" xfId="956" xr:uid="{00000000-0005-0000-0000-000008040000}"/>
    <cellStyle name="Millares 33 4" xfId="957" xr:uid="{00000000-0005-0000-0000-000009040000}"/>
    <cellStyle name="Millares 33 4 2" xfId="958" xr:uid="{00000000-0005-0000-0000-00000A040000}"/>
    <cellStyle name="Millares 33 5" xfId="959" xr:uid="{00000000-0005-0000-0000-00000B040000}"/>
    <cellStyle name="Millares 33 5 2" xfId="960" xr:uid="{00000000-0005-0000-0000-00000C040000}"/>
    <cellStyle name="Millares 33 6" xfId="961" xr:uid="{00000000-0005-0000-0000-00000D040000}"/>
    <cellStyle name="Millares 34" xfId="962" xr:uid="{00000000-0005-0000-0000-00000E040000}"/>
    <cellStyle name="Millares 34 2" xfId="963" xr:uid="{00000000-0005-0000-0000-00000F040000}"/>
    <cellStyle name="Millares 35" xfId="964" xr:uid="{00000000-0005-0000-0000-000010040000}"/>
    <cellStyle name="Millares 35 2" xfId="965" xr:uid="{00000000-0005-0000-0000-000011040000}"/>
    <cellStyle name="Millares 36" xfId="966" xr:uid="{00000000-0005-0000-0000-000012040000}"/>
    <cellStyle name="Millares 36 2" xfId="967" xr:uid="{00000000-0005-0000-0000-000013040000}"/>
    <cellStyle name="Millares 37" xfId="968" xr:uid="{00000000-0005-0000-0000-000014040000}"/>
    <cellStyle name="Millares 37 2" xfId="969" xr:uid="{00000000-0005-0000-0000-000015040000}"/>
    <cellStyle name="Millares 38" xfId="970" xr:uid="{00000000-0005-0000-0000-000016040000}"/>
    <cellStyle name="Millares 38 2" xfId="971" xr:uid="{00000000-0005-0000-0000-000017040000}"/>
    <cellStyle name="Millares 39" xfId="972" xr:uid="{00000000-0005-0000-0000-000018040000}"/>
    <cellStyle name="Millares 39 2" xfId="973" xr:uid="{00000000-0005-0000-0000-000019040000}"/>
    <cellStyle name="Millares 4" xfId="974" xr:uid="{00000000-0005-0000-0000-00001A040000}"/>
    <cellStyle name="Millares 4 2" xfId="975" xr:uid="{00000000-0005-0000-0000-00001B040000}"/>
    <cellStyle name="Millares 4 3" xfId="976" xr:uid="{00000000-0005-0000-0000-00001C040000}"/>
    <cellStyle name="Millares 4 4" xfId="977" xr:uid="{00000000-0005-0000-0000-00001D040000}"/>
    <cellStyle name="Millares 4 5" xfId="978" xr:uid="{00000000-0005-0000-0000-00001E040000}"/>
    <cellStyle name="Millares 40" xfId="979" xr:uid="{00000000-0005-0000-0000-00001F040000}"/>
    <cellStyle name="Millares 40 2" xfId="980" xr:uid="{00000000-0005-0000-0000-000020040000}"/>
    <cellStyle name="Millares 41" xfId="981" xr:uid="{00000000-0005-0000-0000-000021040000}"/>
    <cellStyle name="Millares 41 2" xfId="982" xr:uid="{00000000-0005-0000-0000-000022040000}"/>
    <cellStyle name="Millares 42" xfId="983" xr:uid="{00000000-0005-0000-0000-000023040000}"/>
    <cellStyle name="Millares 42 2" xfId="984" xr:uid="{00000000-0005-0000-0000-000024040000}"/>
    <cellStyle name="Millares 43" xfId="985" xr:uid="{00000000-0005-0000-0000-000025040000}"/>
    <cellStyle name="Millares 43 2" xfId="986" xr:uid="{00000000-0005-0000-0000-000026040000}"/>
    <cellStyle name="Millares 44" xfId="987" xr:uid="{00000000-0005-0000-0000-000027040000}"/>
    <cellStyle name="Millares 44 2" xfId="988" xr:uid="{00000000-0005-0000-0000-000028040000}"/>
    <cellStyle name="Millares 45" xfId="989" xr:uid="{00000000-0005-0000-0000-000029040000}"/>
    <cellStyle name="Millares 45 2" xfId="990" xr:uid="{00000000-0005-0000-0000-00002A040000}"/>
    <cellStyle name="Millares 46" xfId="991" xr:uid="{00000000-0005-0000-0000-00002B040000}"/>
    <cellStyle name="Millares 46 2" xfId="992" xr:uid="{00000000-0005-0000-0000-00002C040000}"/>
    <cellStyle name="Millares 47" xfId="993" xr:uid="{00000000-0005-0000-0000-00002D040000}"/>
    <cellStyle name="Millares 47 2" xfId="994" xr:uid="{00000000-0005-0000-0000-00002E040000}"/>
    <cellStyle name="Millares 48" xfId="995" xr:uid="{00000000-0005-0000-0000-00002F040000}"/>
    <cellStyle name="Millares 48 2" xfId="996" xr:uid="{00000000-0005-0000-0000-000030040000}"/>
    <cellStyle name="Millares 49" xfId="997" xr:uid="{00000000-0005-0000-0000-000031040000}"/>
    <cellStyle name="Millares 49 2" xfId="998" xr:uid="{00000000-0005-0000-0000-000032040000}"/>
    <cellStyle name="Millares 5" xfId="999" xr:uid="{00000000-0005-0000-0000-000033040000}"/>
    <cellStyle name="Millares 5 2" xfId="1000" xr:uid="{00000000-0005-0000-0000-000034040000}"/>
    <cellStyle name="Millares 5 3" xfId="1001" xr:uid="{00000000-0005-0000-0000-000035040000}"/>
    <cellStyle name="Millares 5 4" xfId="1002" xr:uid="{00000000-0005-0000-0000-000036040000}"/>
    <cellStyle name="Millares 50" xfId="1003" xr:uid="{00000000-0005-0000-0000-000037040000}"/>
    <cellStyle name="Millares 51" xfId="1004" xr:uid="{00000000-0005-0000-0000-000038040000}"/>
    <cellStyle name="Millares 52" xfId="1005" xr:uid="{00000000-0005-0000-0000-000039040000}"/>
    <cellStyle name="Millares 53" xfId="1006" xr:uid="{00000000-0005-0000-0000-00003A040000}"/>
    <cellStyle name="Millares 54" xfId="1007" xr:uid="{00000000-0005-0000-0000-00003B040000}"/>
    <cellStyle name="Millares 55" xfId="1008" xr:uid="{00000000-0005-0000-0000-00003C040000}"/>
    <cellStyle name="Millares 56" xfId="1009" xr:uid="{00000000-0005-0000-0000-00003D040000}"/>
    <cellStyle name="Millares 57" xfId="1010" xr:uid="{00000000-0005-0000-0000-00003E040000}"/>
    <cellStyle name="Millares 58" xfId="1011" xr:uid="{00000000-0005-0000-0000-00003F040000}"/>
    <cellStyle name="Millares 59" xfId="1012" xr:uid="{00000000-0005-0000-0000-000040040000}"/>
    <cellStyle name="Millares 6" xfId="1013" xr:uid="{00000000-0005-0000-0000-000041040000}"/>
    <cellStyle name="Millares 60" xfId="1014" xr:uid="{00000000-0005-0000-0000-000042040000}"/>
    <cellStyle name="Millares 61" xfId="1015" xr:uid="{00000000-0005-0000-0000-000043040000}"/>
    <cellStyle name="Millares 61 2" xfId="1016" xr:uid="{00000000-0005-0000-0000-000044040000}"/>
    <cellStyle name="Millares 62" xfId="1017" xr:uid="{00000000-0005-0000-0000-000045040000}"/>
    <cellStyle name="Millares 62 2" xfId="1018" xr:uid="{00000000-0005-0000-0000-000046040000}"/>
    <cellStyle name="Millares 63" xfId="1019" xr:uid="{00000000-0005-0000-0000-000047040000}"/>
    <cellStyle name="Millares 63 2" xfId="1020" xr:uid="{00000000-0005-0000-0000-000048040000}"/>
    <cellStyle name="Millares 64" xfId="1021" xr:uid="{00000000-0005-0000-0000-000049040000}"/>
    <cellStyle name="Millares 64 2" xfId="1022" xr:uid="{00000000-0005-0000-0000-00004A040000}"/>
    <cellStyle name="Millares 65" xfId="1023" xr:uid="{00000000-0005-0000-0000-00004B040000}"/>
    <cellStyle name="Millares 65 2" xfId="1024" xr:uid="{00000000-0005-0000-0000-00004C040000}"/>
    <cellStyle name="Millares 66" xfId="1025" xr:uid="{00000000-0005-0000-0000-00004D040000}"/>
    <cellStyle name="Millares 67" xfId="1026" xr:uid="{00000000-0005-0000-0000-00004E040000}"/>
    <cellStyle name="Millares 68" xfId="1027" xr:uid="{00000000-0005-0000-0000-00004F040000}"/>
    <cellStyle name="Millares 69" xfId="1028" xr:uid="{00000000-0005-0000-0000-000050040000}"/>
    <cellStyle name="Millares 7" xfId="1029" xr:uid="{00000000-0005-0000-0000-000051040000}"/>
    <cellStyle name="Millares 70" xfId="1030" xr:uid="{00000000-0005-0000-0000-000052040000}"/>
    <cellStyle name="Millares 71" xfId="1031" xr:uid="{00000000-0005-0000-0000-000053040000}"/>
    <cellStyle name="Millares 72" xfId="1032" xr:uid="{00000000-0005-0000-0000-000054040000}"/>
    <cellStyle name="Millares 73" xfId="1033" xr:uid="{00000000-0005-0000-0000-000055040000}"/>
    <cellStyle name="Millares 74" xfId="1034" xr:uid="{00000000-0005-0000-0000-000056040000}"/>
    <cellStyle name="Millares 75" xfId="1035" xr:uid="{00000000-0005-0000-0000-000057040000}"/>
    <cellStyle name="Millares 76" xfId="1036" xr:uid="{00000000-0005-0000-0000-000058040000}"/>
    <cellStyle name="Millares 77" xfId="1037" xr:uid="{00000000-0005-0000-0000-000059040000}"/>
    <cellStyle name="Millares 78" xfId="1038" xr:uid="{00000000-0005-0000-0000-00005A040000}"/>
    <cellStyle name="Millares 79" xfId="1039" xr:uid="{00000000-0005-0000-0000-00005B040000}"/>
    <cellStyle name="Millares 8" xfId="1040" xr:uid="{00000000-0005-0000-0000-00005C040000}"/>
    <cellStyle name="Millares 80" xfId="1041" xr:uid="{00000000-0005-0000-0000-00005D040000}"/>
    <cellStyle name="Millares 81" xfId="1042" xr:uid="{00000000-0005-0000-0000-00005E040000}"/>
    <cellStyle name="Millares 82" xfId="1043" xr:uid="{00000000-0005-0000-0000-00005F040000}"/>
    <cellStyle name="Millares 83" xfId="1044" xr:uid="{00000000-0005-0000-0000-000060040000}"/>
    <cellStyle name="Millares 84" xfId="1045" xr:uid="{00000000-0005-0000-0000-000061040000}"/>
    <cellStyle name="Millares 85" xfId="1046" xr:uid="{00000000-0005-0000-0000-000062040000}"/>
    <cellStyle name="Millares 86" xfId="1047" xr:uid="{00000000-0005-0000-0000-000063040000}"/>
    <cellStyle name="Millares 87" xfId="1048" xr:uid="{00000000-0005-0000-0000-000064040000}"/>
    <cellStyle name="Millares 88" xfId="1049" xr:uid="{00000000-0005-0000-0000-000065040000}"/>
    <cellStyle name="Millares 89" xfId="1050" xr:uid="{00000000-0005-0000-0000-000066040000}"/>
    <cellStyle name="Millares 9" xfId="1051" xr:uid="{00000000-0005-0000-0000-000067040000}"/>
    <cellStyle name="Millares 90" xfId="1052" xr:uid="{00000000-0005-0000-0000-000068040000}"/>
    <cellStyle name="Millares 91" xfId="1053" xr:uid="{00000000-0005-0000-0000-000069040000}"/>
    <cellStyle name="Millares 92" xfId="1054" xr:uid="{00000000-0005-0000-0000-00006A040000}"/>
    <cellStyle name="Millares 93" xfId="1055" xr:uid="{00000000-0005-0000-0000-00006B040000}"/>
    <cellStyle name="Millares 94" xfId="1056" xr:uid="{00000000-0005-0000-0000-00006C040000}"/>
    <cellStyle name="Millares 95" xfId="1057" xr:uid="{00000000-0005-0000-0000-00006D040000}"/>
    <cellStyle name="Millares 96" xfId="1058" xr:uid="{00000000-0005-0000-0000-00006E040000}"/>
    <cellStyle name="Millares 97" xfId="1059" xr:uid="{00000000-0005-0000-0000-00006F040000}"/>
    <cellStyle name="Millares 98" xfId="1060" xr:uid="{00000000-0005-0000-0000-000070040000}"/>
    <cellStyle name="Millares 99" xfId="1061" xr:uid="{00000000-0005-0000-0000-000071040000}"/>
    <cellStyle name="Milliers [0]_!!!GO" xfId="1062" xr:uid="{00000000-0005-0000-0000-000072040000}"/>
    <cellStyle name="Milliers_!!!GO" xfId="1063" xr:uid="{00000000-0005-0000-0000-000073040000}"/>
    <cellStyle name="Moneda 2" xfId="1064" xr:uid="{00000000-0005-0000-0000-000074040000}"/>
    <cellStyle name="Moneda 2 10" xfId="1065" xr:uid="{00000000-0005-0000-0000-000075040000}"/>
    <cellStyle name="Moneda 2 10 10" xfId="1066" xr:uid="{00000000-0005-0000-0000-000076040000}"/>
    <cellStyle name="Moneda 2 10 11" xfId="1067" xr:uid="{00000000-0005-0000-0000-000077040000}"/>
    <cellStyle name="Moneda 2 10 12" xfId="1068" xr:uid="{00000000-0005-0000-0000-000078040000}"/>
    <cellStyle name="Moneda 2 10 13" xfId="1069" xr:uid="{00000000-0005-0000-0000-000079040000}"/>
    <cellStyle name="Moneda 2 10 14" xfId="1070" xr:uid="{00000000-0005-0000-0000-00007A040000}"/>
    <cellStyle name="Moneda 2 10 15" xfId="1071" xr:uid="{00000000-0005-0000-0000-00007B040000}"/>
    <cellStyle name="Moneda 2 10 2" xfId="1072" xr:uid="{00000000-0005-0000-0000-00007C040000}"/>
    <cellStyle name="Moneda 2 10 3" xfId="1073" xr:uid="{00000000-0005-0000-0000-00007D040000}"/>
    <cellStyle name="Moneda 2 10 4" xfId="1074" xr:uid="{00000000-0005-0000-0000-00007E040000}"/>
    <cellStyle name="Moneda 2 10 5" xfId="1075" xr:uid="{00000000-0005-0000-0000-00007F040000}"/>
    <cellStyle name="Moneda 2 10 6" xfId="1076" xr:uid="{00000000-0005-0000-0000-000080040000}"/>
    <cellStyle name="Moneda 2 10 7" xfId="1077" xr:uid="{00000000-0005-0000-0000-000081040000}"/>
    <cellStyle name="Moneda 2 10 8" xfId="1078" xr:uid="{00000000-0005-0000-0000-000082040000}"/>
    <cellStyle name="Moneda 2 10 9" xfId="1079" xr:uid="{00000000-0005-0000-0000-000083040000}"/>
    <cellStyle name="Moneda 2 11" xfId="1080" xr:uid="{00000000-0005-0000-0000-000084040000}"/>
    <cellStyle name="Moneda 2 11 10" xfId="1081" xr:uid="{00000000-0005-0000-0000-000085040000}"/>
    <cellStyle name="Moneda 2 11 11" xfId="1082" xr:uid="{00000000-0005-0000-0000-000086040000}"/>
    <cellStyle name="Moneda 2 11 12" xfId="1083" xr:uid="{00000000-0005-0000-0000-000087040000}"/>
    <cellStyle name="Moneda 2 11 13" xfId="1084" xr:uid="{00000000-0005-0000-0000-000088040000}"/>
    <cellStyle name="Moneda 2 11 14" xfId="1085" xr:uid="{00000000-0005-0000-0000-000089040000}"/>
    <cellStyle name="Moneda 2 11 15" xfId="1086" xr:uid="{00000000-0005-0000-0000-00008A040000}"/>
    <cellStyle name="Moneda 2 11 2" xfId="1087" xr:uid="{00000000-0005-0000-0000-00008B040000}"/>
    <cellStyle name="Moneda 2 11 3" xfId="1088" xr:uid="{00000000-0005-0000-0000-00008C040000}"/>
    <cellStyle name="Moneda 2 11 4" xfId="1089" xr:uid="{00000000-0005-0000-0000-00008D040000}"/>
    <cellStyle name="Moneda 2 11 5" xfId="1090" xr:uid="{00000000-0005-0000-0000-00008E040000}"/>
    <cellStyle name="Moneda 2 11 6" xfId="1091" xr:uid="{00000000-0005-0000-0000-00008F040000}"/>
    <cellStyle name="Moneda 2 11 7" xfId="1092" xr:uid="{00000000-0005-0000-0000-000090040000}"/>
    <cellStyle name="Moneda 2 11 8" xfId="1093" xr:uid="{00000000-0005-0000-0000-000091040000}"/>
    <cellStyle name="Moneda 2 11 9" xfId="1094" xr:uid="{00000000-0005-0000-0000-000092040000}"/>
    <cellStyle name="Moneda 2 12" xfId="1095" xr:uid="{00000000-0005-0000-0000-000093040000}"/>
    <cellStyle name="Moneda 2 12 10" xfId="1096" xr:uid="{00000000-0005-0000-0000-000094040000}"/>
    <cellStyle name="Moneda 2 12 11" xfId="1097" xr:uid="{00000000-0005-0000-0000-000095040000}"/>
    <cellStyle name="Moneda 2 12 12" xfId="1098" xr:uid="{00000000-0005-0000-0000-000096040000}"/>
    <cellStyle name="Moneda 2 12 13" xfId="1099" xr:uid="{00000000-0005-0000-0000-000097040000}"/>
    <cellStyle name="Moneda 2 12 14" xfId="1100" xr:uid="{00000000-0005-0000-0000-000098040000}"/>
    <cellStyle name="Moneda 2 12 15" xfId="1101" xr:uid="{00000000-0005-0000-0000-000099040000}"/>
    <cellStyle name="Moneda 2 12 2" xfId="1102" xr:uid="{00000000-0005-0000-0000-00009A040000}"/>
    <cellStyle name="Moneda 2 12 3" xfId="1103" xr:uid="{00000000-0005-0000-0000-00009B040000}"/>
    <cellStyle name="Moneda 2 12 4" xfId="1104" xr:uid="{00000000-0005-0000-0000-00009C040000}"/>
    <cellStyle name="Moneda 2 12 5" xfId="1105" xr:uid="{00000000-0005-0000-0000-00009D040000}"/>
    <cellStyle name="Moneda 2 12 6" xfId="1106" xr:uid="{00000000-0005-0000-0000-00009E040000}"/>
    <cellStyle name="Moneda 2 12 7" xfId="1107" xr:uid="{00000000-0005-0000-0000-00009F040000}"/>
    <cellStyle name="Moneda 2 12 8" xfId="1108" xr:uid="{00000000-0005-0000-0000-0000A0040000}"/>
    <cellStyle name="Moneda 2 12 9" xfId="1109" xr:uid="{00000000-0005-0000-0000-0000A1040000}"/>
    <cellStyle name="Moneda 2 13" xfId="1110" xr:uid="{00000000-0005-0000-0000-0000A2040000}"/>
    <cellStyle name="Moneda 2 13 10" xfId="1111" xr:uid="{00000000-0005-0000-0000-0000A3040000}"/>
    <cellStyle name="Moneda 2 13 11" xfId="1112" xr:uid="{00000000-0005-0000-0000-0000A4040000}"/>
    <cellStyle name="Moneda 2 13 12" xfId="1113" xr:uid="{00000000-0005-0000-0000-0000A5040000}"/>
    <cellStyle name="Moneda 2 13 13" xfId="1114" xr:uid="{00000000-0005-0000-0000-0000A6040000}"/>
    <cellStyle name="Moneda 2 13 14" xfId="1115" xr:uid="{00000000-0005-0000-0000-0000A7040000}"/>
    <cellStyle name="Moneda 2 13 15" xfId="1116" xr:uid="{00000000-0005-0000-0000-0000A8040000}"/>
    <cellStyle name="Moneda 2 13 2" xfId="1117" xr:uid="{00000000-0005-0000-0000-0000A9040000}"/>
    <cellStyle name="Moneda 2 13 3" xfId="1118" xr:uid="{00000000-0005-0000-0000-0000AA040000}"/>
    <cellStyle name="Moneda 2 13 4" xfId="1119" xr:uid="{00000000-0005-0000-0000-0000AB040000}"/>
    <cellStyle name="Moneda 2 13 5" xfId="1120" xr:uid="{00000000-0005-0000-0000-0000AC040000}"/>
    <cellStyle name="Moneda 2 13 6" xfId="1121" xr:uid="{00000000-0005-0000-0000-0000AD040000}"/>
    <cellStyle name="Moneda 2 13 7" xfId="1122" xr:uid="{00000000-0005-0000-0000-0000AE040000}"/>
    <cellStyle name="Moneda 2 13 8" xfId="1123" xr:uid="{00000000-0005-0000-0000-0000AF040000}"/>
    <cellStyle name="Moneda 2 13 9" xfId="1124" xr:uid="{00000000-0005-0000-0000-0000B0040000}"/>
    <cellStyle name="Moneda 2 14" xfId="1125" xr:uid="{00000000-0005-0000-0000-0000B1040000}"/>
    <cellStyle name="Moneda 2 14 10" xfId="1126" xr:uid="{00000000-0005-0000-0000-0000B2040000}"/>
    <cellStyle name="Moneda 2 14 11" xfId="1127" xr:uid="{00000000-0005-0000-0000-0000B3040000}"/>
    <cellStyle name="Moneda 2 14 12" xfId="1128" xr:uid="{00000000-0005-0000-0000-0000B4040000}"/>
    <cellStyle name="Moneda 2 14 13" xfId="1129" xr:uid="{00000000-0005-0000-0000-0000B5040000}"/>
    <cellStyle name="Moneda 2 14 14" xfId="1130" xr:uid="{00000000-0005-0000-0000-0000B6040000}"/>
    <cellStyle name="Moneda 2 14 15" xfId="1131" xr:uid="{00000000-0005-0000-0000-0000B7040000}"/>
    <cellStyle name="Moneda 2 14 2" xfId="1132" xr:uid="{00000000-0005-0000-0000-0000B8040000}"/>
    <cellStyle name="Moneda 2 14 3" xfId="1133" xr:uid="{00000000-0005-0000-0000-0000B9040000}"/>
    <cellStyle name="Moneda 2 14 4" xfId="1134" xr:uid="{00000000-0005-0000-0000-0000BA040000}"/>
    <cellStyle name="Moneda 2 14 5" xfId="1135" xr:uid="{00000000-0005-0000-0000-0000BB040000}"/>
    <cellStyle name="Moneda 2 14 6" xfId="1136" xr:uid="{00000000-0005-0000-0000-0000BC040000}"/>
    <cellStyle name="Moneda 2 14 7" xfId="1137" xr:uid="{00000000-0005-0000-0000-0000BD040000}"/>
    <cellStyle name="Moneda 2 14 8" xfId="1138" xr:uid="{00000000-0005-0000-0000-0000BE040000}"/>
    <cellStyle name="Moneda 2 14 9" xfId="1139" xr:uid="{00000000-0005-0000-0000-0000BF040000}"/>
    <cellStyle name="Moneda 2 15" xfId="1140" xr:uid="{00000000-0005-0000-0000-0000C0040000}"/>
    <cellStyle name="Moneda 2 15 10" xfId="1141" xr:uid="{00000000-0005-0000-0000-0000C1040000}"/>
    <cellStyle name="Moneda 2 15 11" xfId="1142" xr:uid="{00000000-0005-0000-0000-0000C2040000}"/>
    <cellStyle name="Moneda 2 15 12" xfId="1143" xr:uid="{00000000-0005-0000-0000-0000C3040000}"/>
    <cellStyle name="Moneda 2 15 13" xfId="1144" xr:uid="{00000000-0005-0000-0000-0000C4040000}"/>
    <cellStyle name="Moneda 2 15 14" xfId="1145" xr:uid="{00000000-0005-0000-0000-0000C5040000}"/>
    <cellStyle name="Moneda 2 15 15" xfId="1146" xr:uid="{00000000-0005-0000-0000-0000C6040000}"/>
    <cellStyle name="Moneda 2 15 2" xfId="1147" xr:uid="{00000000-0005-0000-0000-0000C7040000}"/>
    <cellStyle name="Moneda 2 15 3" xfId="1148" xr:uid="{00000000-0005-0000-0000-0000C8040000}"/>
    <cellStyle name="Moneda 2 15 4" xfId="1149" xr:uid="{00000000-0005-0000-0000-0000C9040000}"/>
    <cellStyle name="Moneda 2 15 5" xfId="1150" xr:uid="{00000000-0005-0000-0000-0000CA040000}"/>
    <cellStyle name="Moneda 2 15 6" xfId="1151" xr:uid="{00000000-0005-0000-0000-0000CB040000}"/>
    <cellStyle name="Moneda 2 15 7" xfId="1152" xr:uid="{00000000-0005-0000-0000-0000CC040000}"/>
    <cellStyle name="Moneda 2 15 8" xfId="1153" xr:uid="{00000000-0005-0000-0000-0000CD040000}"/>
    <cellStyle name="Moneda 2 15 9" xfId="1154" xr:uid="{00000000-0005-0000-0000-0000CE040000}"/>
    <cellStyle name="Moneda 2 16" xfId="1155" xr:uid="{00000000-0005-0000-0000-0000CF040000}"/>
    <cellStyle name="Moneda 2 16 10" xfId="1156" xr:uid="{00000000-0005-0000-0000-0000D0040000}"/>
    <cellStyle name="Moneda 2 16 11" xfId="1157" xr:uid="{00000000-0005-0000-0000-0000D1040000}"/>
    <cellStyle name="Moneda 2 16 12" xfId="1158" xr:uid="{00000000-0005-0000-0000-0000D2040000}"/>
    <cellStyle name="Moneda 2 16 13" xfId="1159" xr:uid="{00000000-0005-0000-0000-0000D3040000}"/>
    <cellStyle name="Moneda 2 16 14" xfId="1160" xr:uid="{00000000-0005-0000-0000-0000D4040000}"/>
    <cellStyle name="Moneda 2 16 15" xfId="1161" xr:uid="{00000000-0005-0000-0000-0000D5040000}"/>
    <cellStyle name="Moneda 2 16 2" xfId="1162" xr:uid="{00000000-0005-0000-0000-0000D6040000}"/>
    <cellStyle name="Moneda 2 16 3" xfId="1163" xr:uid="{00000000-0005-0000-0000-0000D7040000}"/>
    <cellStyle name="Moneda 2 16 4" xfId="1164" xr:uid="{00000000-0005-0000-0000-0000D8040000}"/>
    <cellStyle name="Moneda 2 16 5" xfId="1165" xr:uid="{00000000-0005-0000-0000-0000D9040000}"/>
    <cellStyle name="Moneda 2 16 6" xfId="1166" xr:uid="{00000000-0005-0000-0000-0000DA040000}"/>
    <cellStyle name="Moneda 2 16 7" xfId="1167" xr:uid="{00000000-0005-0000-0000-0000DB040000}"/>
    <cellStyle name="Moneda 2 16 8" xfId="1168" xr:uid="{00000000-0005-0000-0000-0000DC040000}"/>
    <cellStyle name="Moneda 2 16 9" xfId="1169" xr:uid="{00000000-0005-0000-0000-0000DD040000}"/>
    <cellStyle name="Moneda 2 17" xfId="1170" xr:uid="{00000000-0005-0000-0000-0000DE040000}"/>
    <cellStyle name="Moneda 2 17 10" xfId="1171" xr:uid="{00000000-0005-0000-0000-0000DF040000}"/>
    <cellStyle name="Moneda 2 17 11" xfId="1172" xr:uid="{00000000-0005-0000-0000-0000E0040000}"/>
    <cellStyle name="Moneda 2 17 12" xfId="1173" xr:uid="{00000000-0005-0000-0000-0000E1040000}"/>
    <cellStyle name="Moneda 2 17 13" xfId="1174" xr:uid="{00000000-0005-0000-0000-0000E2040000}"/>
    <cellStyle name="Moneda 2 17 14" xfId="1175" xr:uid="{00000000-0005-0000-0000-0000E3040000}"/>
    <cellStyle name="Moneda 2 17 15" xfId="1176" xr:uid="{00000000-0005-0000-0000-0000E4040000}"/>
    <cellStyle name="Moneda 2 17 2" xfId="1177" xr:uid="{00000000-0005-0000-0000-0000E5040000}"/>
    <cellStyle name="Moneda 2 17 3" xfId="1178" xr:uid="{00000000-0005-0000-0000-0000E6040000}"/>
    <cellStyle name="Moneda 2 17 4" xfId="1179" xr:uid="{00000000-0005-0000-0000-0000E7040000}"/>
    <cellStyle name="Moneda 2 17 5" xfId="1180" xr:uid="{00000000-0005-0000-0000-0000E8040000}"/>
    <cellStyle name="Moneda 2 17 6" xfId="1181" xr:uid="{00000000-0005-0000-0000-0000E9040000}"/>
    <cellStyle name="Moneda 2 17 7" xfId="1182" xr:uid="{00000000-0005-0000-0000-0000EA040000}"/>
    <cellStyle name="Moneda 2 17 8" xfId="1183" xr:uid="{00000000-0005-0000-0000-0000EB040000}"/>
    <cellStyle name="Moneda 2 17 9" xfId="1184" xr:uid="{00000000-0005-0000-0000-0000EC040000}"/>
    <cellStyle name="Moneda 2 18" xfId="1185" xr:uid="{00000000-0005-0000-0000-0000ED040000}"/>
    <cellStyle name="Moneda 2 19" xfId="1186" xr:uid="{00000000-0005-0000-0000-0000EE040000}"/>
    <cellStyle name="Moneda 2 2" xfId="1187" xr:uid="{00000000-0005-0000-0000-0000EF040000}"/>
    <cellStyle name="Moneda 2 2 10" xfId="1188" xr:uid="{00000000-0005-0000-0000-0000F0040000}"/>
    <cellStyle name="Moneda 2 2 11" xfId="1189" xr:uid="{00000000-0005-0000-0000-0000F1040000}"/>
    <cellStyle name="Moneda 2 2 12" xfId="1190" xr:uid="{00000000-0005-0000-0000-0000F2040000}"/>
    <cellStyle name="Moneda 2 2 13" xfId="1191" xr:uid="{00000000-0005-0000-0000-0000F3040000}"/>
    <cellStyle name="Moneda 2 2 14" xfId="1192" xr:uid="{00000000-0005-0000-0000-0000F4040000}"/>
    <cellStyle name="Moneda 2 2 15" xfId="1193" xr:uid="{00000000-0005-0000-0000-0000F5040000}"/>
    <cellStyle name="Moneda 2 2 2" xfId="1194" xr:uid="{00000000-0005-0000-0000-0000F6040000}"/>
    <cellStyle name="Moneda 2 2 2 2" xfId="1195" xr:uid="{00000000-0005-0000-0000-0000F7040000}"/>
    <cellStyle name="Moneda 2 2 2 2 2" xfId="1196" xr:uid="{00000000-0005-0000-0000-0000F8040000}"/>
    <cellStyle name="Moneda 2 2 2 3" xfId="1197" xr:uid="{00000000-0005-0000-0000-0000F9040000}"/>
    <cellStyle name="Moneda 2 2 2 3 2" xfId="1198" xr:uid="{00000000-0005-0000-0000-0000FA040000}"/>
    <cellStyle name="Moneda 2 2 2 4" xfId="1199" xr:uid="{00000000-0005-0000-0000-0000FB040000}"/>
    <cellStyle name="Moneda 2 2 2 4 2" xfId="1200" xr:uid="{00000000-0005-0000-0000-0000FC040000}"/>
    <cellStyle name="Moneda 2 2 2 5" xfId="1201" xr:uid="{00000000-0005-0000-0000-0000FD040000}"/>
    <cellStyle name="Moneda 2 2 2 5 2" xfId="1202" xr:uid="{00000000-0005-0000-0000-0000FE040000}"/>
    <cellStyle name="Moneda 2 2 2 6" xfId="1203" xr:uid="{00000000-0005-0000-0000-0000FF040000}"/>
    <cellStyle name="Moneda 2 2 3" xfId="1204" xr:uid="{00000000-0005-0000-0000-000000050000}"/>
    <cellStyle name="Moneda 2 2 3 2" xfId="1205" xr:uid="{00000000-0005-0000-0000-000001050000}"/>
    <cellStyle name="Moneda 2 2 3 3" xfId="1206" xr:uid="{00000000-0005-0000-0000-000002050000}"/>
    <cellStyle name="Moneda 2 2 4" xfId="1207" xr:uid="{00000000-0005-0000-0000-000003050000}"/>
    <cellStyle name="Moneda 2 2 5" xfId="1208" xr:uid="{00000000-0005-0000-0000-000004050000}"/>
    <cellStyle name="Moneda 2 2 6" xfId="1209" xr:uid="{00000000-0005-0000-0000-000005050000}"/>
    <cellStyle name="Moneda 2 2 7" xfId="1210" xr:uid="{00000000-0005-0000-0000-000006050000}"/>
    <cellStyle name="Moneda 2 2 8" xfId="1211" xr:uid="{00000000-0005-0000-0000-000007050000}"/>
    <cellStyle name="Moneda 2 2 9" xfId="1212" xr:uid="{00000000-0005-0000-0000-000008050000}"/>
    <cellStyle name="Moneda 2 20" xfId="1213" xr:uid="{00000000-0005-0000-0000-000009050000}"/>
    <cellStyle name="Moneda 2 21" xfId="1214" xr:uid="{00000000-0005-0000-0000-00000A050000}"/>
    <cellStyle name="Moneda 2 22" xfId="1215" xr:uid="{00000000-0005-0000-0000-00000B050000}"/>
    <cellStyle name="Moneda 2 23" xfId="1216" xr:uid="{00000000-0005-0000-0000-00000C050000}"/>
    <cellStyle name="Moneda 2 24" xfId="1217" xr:uid="{00000000-0005-0000-0000-00000D050000}"/>
    <cellStyle name="Moneda 2 25" xfId="1218" xr:uid="{00000000-0005-0000-0000-00000E050000}"/>
    <cellStyle name="Moneda 2 26" xfId="1219" xr:uid="{00000000-0005-0000-0000-00000F050000}"/>
    <cellStyle name="Moneda 2 27" xfId="1220" xr:uid="{00000000-0005-0000-0000-000010050000}"/>
    <cellStyle name="Moneda 2 28" xfId="1221" xr:uid="{00000000-0005-0000-0000-000011050000}"/>
    <cellStyle name="Moneda 2 29" xfId="1222" xr:uid="{00000000-0005-0000-0000-000012050000}"/>
    <cellStyle name="Moneda 2 3" xfId="1223" xr:uid="{00000000-0005-0000-0000-000013050000}"/>
    <cellStyle name="Moneda 2 3 10" xfId="1224" xr:uid="{00000000-0005-0000-0000-000014050000}"/>
    <cellStyle name="Moneda 2 3 11" xfId="1225" xr:uid="{00000000-0005-0000-0000-000015050000}"/>
    <cellStyle name="Moneda 2 3 12" xfId="1226" xr:uid="{00000000-0005-0000-0000-000016050000}"/>
    <cellStyle name="Moneda 2 3 13" xfId="1227" xr:uid="{00000000-0005-0000-0000-000017050000}"/>
    <cellStyle name="Moneda 2 3 14" xfId="1228" xr:uid="{00000000-0005-0000-0000-000018050000}"/>
    <cellStyle name="Moneda 2 3 15" xfId="1229" xr:uid="{00000000-0005-0000-0000-000019050000}"/>
    <cellStyle name="Moneda 2 3 2" xfId="1230" xr:uid="{00000000-0005-0000-0000-00001A050000}"/>
    <cellStyle name="Moneda 2 3 2 2" xfId="1231" xr:uid="{00000000-0005-0000-0000-00001B050000}"/>
    <cellStyle name="Moneda 2 3 2 2 2" xfId="1232" xr:uid="{00000000-0005-0000-0000-00001C050000}"/>
    <cellStyle name="Moneda 2 3 2 3" xfId="1233" xr:uid="{00000000-0005-0000-0000-00001D050000}"/>
    <cellStyle name="Moneda 2 3 2 3 2" xfId="1234" xr:uid="{00000000-0005-0000-0000-00001E050000}"/>
    <cellStyle name="Moneda 2 3 2 4" xfId="1235" xr:uid="{00000000-0005-0000-0000-00001F050000}"/>
    <cellStyle name="Moneda 2 3 2 4 2" xfId="1236" xr:uid="{00000000-0005-0000-0000-000020050000}"/>
    <cellStyle name="Moneda 2 3 2 5" xfId="1237" xr:uid="{00000000-0005-0000-0000-000021050000}"/>
    <cellStyle name="Moneda 2 3 2 5 2" xfId="1238" xr:uid="{00000000-0005-0000-0000-000022050000}"/>
    <cellStyle name="Moneda 2 3 2 6" xfId="1239" xr:uid="{00000000-0005-0000-0000-000023050000}"/>
    <cellStyle name="Moneda 2 3 3" xfId="1240" xr:uid="{00000000-0005-0000-0000-000024050000}"/>
    <cellStyle name="Moneda 2 3 3 2" xfId="1241" xr:uid="{00000000-0005-0000-0000-000025050000}"/>
    <cellStyle name="Moneda 2 3 3 3" xfId="1242" xr:uid="{00000000-0005-0000-0000-000026050000}"/>
    <cellStyle name="Moneda 2 3 4" xfId="1243" xr:uid="{00000000-0005-0000-0000-000027050000}"/>
    <cellStyle name="Moneda 2 3 5" xfId="1244" xr:uid="{00000000-0005-0000-0000-000028050000}"/>
    <cellStyle name="Moneda 2 3 6" xfId="1245" xr:uid="{00000000-0005-0000-0000-000029050000}"/>
    <cellStyle name="Moneda 2 3 7" xfId="1246" xr:uid="{00000000-0005-0000-0000-00002A050000}"/>
    <cellStyle name="Moneda 2 3 8" xfId="1247" xr:uid="{00000000-0005-0000-0000-00002B050000}"/>
    <cellStyle name="Moneda 2 3 9" xfId="1248" xr:uid="{00000000-0005-0000-0000-00002C050000}"/>
    <cellStyle name="Moneda 2 30" xfId="1249" xr:uid="{00000000-0005-0000-0000-00002D050000}"/>
    <cellStyle name="Moneda 2 31" xfId="1250" xr:uid="{00000000-0005-0000-0000-00002E050000}"/>
    <cellStyle name="Moneda 2 32" xfId="1251" xr:uid="{00000000-0005-0000-0000-00002F050000}"/>
    <cellStyle name="Moneda 2 33" xfId="1252" xr:uid="{00000000-0005-0000-0000-000030050000}"/>
    <cellStyle name="Moneda 2 34" xfId="1253" xr:uid="{00000000-0005-0000-0000-000031050000}"/>
    <cellStyle name="Moneda 2 35" xfId="1254" xr:uid="{00000000-0005-0000-0000-000032050000}"/>
    <cellStyle name="Moneda 2 36" xfId="1255" xr:uid="{00000000-0005-0000-0000-000033050000}"/>
    <cellStyle name="Moneda 2 37" xfId="1256" xr:uid="{00000000-0005-0000-0000-000034050000}"/>
    <cellStyle name="Moneda 2 38" xfId="1257" xr:uid="{00000000-0005-0000-0000-000035050000}"/>
    <cellStyle name="Moneda 2 39" xfId="1258" xr:uid="{00000000-0005-0000-0000-000036050000}"/>
    <cellStyle name="Moneda 2 4" xfId="1259" xr:uid="{00000000-0005-0000-0000-000037050000}"/>
    <cellStyle name="Moneda 2 4 10" xfId="1260" xr:uid="{00000000-0005-0000-0000-000038050000}"/>
    <cellStyle name="Moneda 2 4 11" xfId="1261" xr:uid="{00000000-0005-0000-0000-000039050000}"/>
    <cellStyle name="Moneda 2 4 12" xfId="1262" xr:uid="{00000000-0005-0000-0000-00003A050000}"/>
    <cellStyle name="Moneda 2 4 13" xfId="1263" xr:uid="{00000000-0005-0000-0000-00003B050000}"/>
    <cellStyle name="Moneda 2 4 14" xfId="1264" xr:uid="{00000000-0005-0000-0000-00003C050000}"/>
    <cellStyle name="Moneda 2 4 15" xfId="1265" xr:uid="{00000000-0005-0000-0000-00003D050000}"/>
    <cellStyle name="Moneda 2 4 2" xfId="1266" xr:uid="{00000000-0005-0000-0000-00003E050000}"/>
    <cellStyle name="Moneda 2 4 2 2" xfId="1267" xr:uid="{00000000-0005-0000-0000-00003F050000}"/>
    <cellStyle name="Moneda 2 4 3" xfId="1268" xr:uid="{00000000-0005-0000-0000-000040050000}"/>
    <cellStyle name="Moneda 2 4 3 2" xfId="1269" xr:uid="{00000000-0005-0000-0000-000041050000}"/>
    <cellStyle name="Moneda 2 4 4" xfId="1270" xr:uid="{00000000-0005-0000-0000-000042050000}"/>
    <cellStyle name="Moneda 2 4 4 2" xfId="1271" xr:uid="{00000000-0005-0000-0000-000043050000}"/>
    <cellStyle name="Moneda 2 4 5" xfId="1272" xr:uid="{00000000-0005-0000-0000-000044050000}"/>
    <cellStyle name="Moneda 2 4 5 2" xfId="1273" xr:uid="{00000000-0005-0000-0000-000045050000}"/>
    <cellStyle name="Moneda 2 4 6" xfId="1274" xr:uid="{00000000-0005-0000-0000-000046050000}"/>
    <cellStyle name="Moneda 2 4 7" xfId="1275" xr:uid="{00000000-0005-0000-0000-000047050000}"/>
    <cellStyle name="Moneda 2 4 8" xfId="1276" xr:uid="{00000000-0005-0000-0000-000048050000}"/>
    <cellStyle name="Moneda 2 4 9" xfId="1277" xr:uid="{00000000-0005-0000-0000-000049050000}"/>
    <cellStyle name="Moneda 2 40" xfId="1278" xr:uid="{00000000-0005-0000-0000-00004A050000}"/>
    <cellStyle name="Moneda 2 41" xfId="1279" xr:uid="{00000000-0005-0000-0000-00004B050000}"/>
    <cellStyle name="Moneda 2 42" xfId="1280" xr:uid="{00000000-0005-0000-0000-00004C050000}"/>
    <cellStyle name="Moneda 2 43" xfId="1281" xr:uid="{00000000-0005-0000-0000-00004D050000}"/>
    <cellStyle name="Moneda 2 44" xfId="1282" xr:uid="{00000000-0005-0000-0000-00004E050000}"/>
    <cellStyle name="Moneda 2 45" xfId="1283" xr:uid="{00000000-0005-0000-0000-00004F050000}"/>
    <cellStyle name="Moneda 2 46" xfId="1284" xr:uid="{00000000-0005-0000-0000-000050050000}"/>
    <cellStyle name="Moneda 2 47" xfId="1285" xr:uid="{00000000-0005-0000-0000-000051050000}"/>
    <cellStyle name="Moneda 2 48" xfId="1286" xr:uid="{00000000-0005-0000-0000-000052050000}"/>
    <cellStyle name="Moneda 2 49" xfId="1287" xr:uid="{00000000-0005-0000-0000-000053050000}"/>
    <cellStyle name="Moneda 2 5" xfId="1288" xr:uid="{00000000-0005-0000-0000-000054050000}"/>
    <cellStyle name="Moneda 2 5 10" xfId="1289" xr:uid="{00000000-0005-0000-0000-000055050000}"/>
    <cellStyle name="Moneda 2 5 11" xfId="1290" xr:uid="{00000000-0005-0000-0000-000056050000}"/>
    <cellStyle name="Moneda 2 5 12" xfId="1291" xr:uid="{00000000-0005-0000-0000-000057050000}"/>
    <cellStyle name="Moneda 2 5 13" xfId="1292" xr:uid="{00000000-0005-0000-0000-000058050000}"/>
    <cellStyle name="Moneda 2 5 14" xfId="1293" xr:uid="{00000000-0005-0000-0000-000059050000}"/>
    <cellStyle name="Moneda 2 5 15" xfId="1294" xr:uid="{00000000-0005-0000-0000-00005A050000}"/>
    <cellStyle name="Moneda 2 5 2" xfId="1295" xr:uid="{00000000-0005-0000-0000-00005B050000}"/>
    <cellStyle name="Moneda 2 5 2 2" xfId="1296" xr:uid="{00000000-0005-0000-0000-00005C050000}"/>
    <cellStyle name="Moneda 2 5 3" xfId="1297" xr:uid="{00000000-0005-0000-0000-00005D050000}"/>
    <cellStyle name="Moneda 2 5 3 2" xfId="1298" xr:uid="{00000000-0005-0000-0000-00005E050000}"/>
    <cellStyle name="Moneda 2 5 4" xfId="1299" xr:uid="{00000000-0005-0000-0000-00005F050000}"/>
    <cellStyle name="Moneda 2 5 4 2" xfId="1300" xr:uid="{00000000-0005-0000-0000-000060050000}"/>
    <cellStyle name="Moneda 2 5 5" xfId="1301" xr:uid="{00000000-0005-0000-0000-000061050000}"/>
    <cellStyle name="Moneda 2 5 5 2" xfId="1302" xr:uid="{00000000-0005-0000-0000-000062050000}"/>
    <cellStyle name="Moneda 2 5 6" xfId="1303" xr:uid="{00000000-0005-0000-0000-000063050000}"/>
    <cellStyle name="Moneda 2 5 7" xfId="1304" xr:uid="{00000000-0005-0000-0000-000064050000}"/>
    <cellStyle name="Moneda 2 5 8" xfId="1305" xr:uid="{00000000-0005-0000-0000-000065050000}"/>
    <cellStyle name="Moneda 2 5 9" xfId="1306" xr:uid="{00000000-0005-0000-0000-000066050000}"/>
    <cellStyle name="Moneda 2 50" xfId="1307" xr:uid="{00000000-0005-0000-0000-000067050000}"/>
    <cellStyle name="Moneda 2 51" xfId="1308" xr:uid="{00000000-0005-0000-0000-000068050000}"/>
    <cellStyle name="Moneda 2 6" xfId="1309" xr:uid="{00000000-0005-0000-0000-000069050000}"/>
    <cellStyle name="Moneda 2 6 10" xfId="1310" xr:uid="{00000000-0005-0000-0000-00006A050000}"/>
    <cellStyle name="Moneda 2 6 11" xfId="1311" xr:uid="{00000000-0005-0000-0000-00006B050000}"/>
    <cellStyle name="Moneda 2 6 12" xfId="1312" xr:uid="{00000000-0005-0000-0000-00006C050000}"/>
    <cellStyle name="Moneda 2 6 13" xfId="1313" xr:uid="{00000000-0005-0000-0000-00006D050000}"/>
    <cellStyle name="Moneda 2 6 14" xfId="1314" xr:uid="{00000000-0005-0000-0000-00006E050000}"/>
    <cellStyle name="Moneda 2 6 15" xfId="1315" xr:uid="{00000000-0005-0000-0000-00006F050000}"/>
    <cellStyle name="Moneda 2 6 2" xfId="1316" xr:uid="{00000000-0005-0000-0000-000070050000}"/>
    <cellStyle name="Moneda 2 6 2 2" xfId="1317" xr:uid="{00000000-0005-0000-0000-000071050000}"/>
    <cellStyle name="Moneda 2 6 3" xfId="1318" xr:uid="{00000000-0005-0000-0000-000072050000}"/>
    <cellStyle name="Moneda 2 6 3 2" xfId="1319" xr:uid="{00000000-0005-0000-0000-000073050000}"/>
    <cellStyle name="Moneda 2 6 4" xfId="1320" xr:uid="{00000000-0005-0000-0000-000074050000}"/>
    <cellStyle name="Moneda 2 6 4 2" xfId="1321" xr:uid="{00000000-0005-0000-0000-000075050000}"/>
    <cellStyle name="Moneda 2 6 5" xfId="1322" xr:uid="{00000000-0005-0000-0000-000076050000}"/>
    <cellStyle name="Moneda 2 6 5 2" xfId="1323" xr:uid="{00000000-0005-0000-0000-000077050000}"/>
    <cellStyle name="Moneda 2 6 6" xfId="1324" xr:uid="{00000000-0005-0000-0000-000078050000}"/>
    <cellStyle name="Moneda 2 6 7" xfId="1325" xr:uid="{00000000-0005-0000-0000-000079050000}"/>
    <cellStyle name="Moneda 2 6 8" xfId="1326" xr:uid="{00000000-0005-0000-0000-00007A050000}"/>
    <cellStyle name="Moneda 2 6 9" xfId="1327" xr:uid="{00000000-0005-0000-0000-00007B050000}"/>
    <cellStyle name="Moneda 2 7" xfId="1328" xr:uid="{00000000-0005-0000-0000-00007C050000}"/>
    <cellStyle name="Moneda 2 7 10" xfId="1329" xr:uid="{00000000-0005-0000-0000-00007D050000}"/>
    <cellStyle name="Moneda 2 7 11" xfId="1330" xr:uid="{00000000-0005-0000-0000-00007E050000}"/>
    <cellStyle name="Moneda 2 7 12" xfId="1331" xr:uid="{00000000-0005-0000-0000-00007F050000}"/>
    <cellStyle name="Moneda 2 7 13" xfId="1332" xr:uid="{00000000-0005-0000-0000-000080050000}"/>
    <cellStyle name="Moneda 2 7 14" xfId="1333" xr:uid="{00000000-0005-0000-0000-000081050000}"/>
    <cellStyle name="Moneda 2 7 15" xfId="1334" xr:uid="{00000000-0005-0000-0000-000082050000}"/>
    <cellStyle name="Moneda 2 7 16" xfId="1335" xr:uid="{00000000-0005-0000-0000-000083050000}"/>
    <cellStyle name="Moneda 2 7 2" xfId="1336" xr:uid="{00000000-0005-0000-0000-000084050000}"/>
    <cellStyle name="Moneda 2 7 2 2" xfId="1337" xr:uid="{00000000-0005-0000-0000-000085050000}"/>
    <cellStyle name="Moneda 2 7 3" xfId="1338" xr:uid="{00000000-0005-0000-0000-000086050000}"/>
    <cellStyle name="Moneda 2 7 4" xfId="1339" xr:uid="{00000000-0005-0000-0000-000087050000}"/>
    <cellStyle name="Moneda 2 7 5" xfId="1340" xr:uid="{00000000-0005-0000-0000-000088050000}"/>
    <cellStyle name="Moneda 2 7 6" xfId="1341" xr:uid="{00000000-0005-0000-0000-000089050000}"/>
    <cellStyle name="Moneda 2 7 7" xfId="1342" xr:uid="{00000000-0005-0000-0000-00008A050000}"/>
    <cellStyle name="Moneda 2 7 8" xfId="1343" xr:uid="{00000000-0005-0000-0000-00008B050000}"/>
    <cellStyle name="Moneda 2 7 9" xfId="1344" xr:uid="{00000000-0005-0000-0000-00008C050000}"/>
    <cellStyle name="Moneda 2 8" xfId="1345" xr:uid="{00000000-0005-0000-0000-00008D050000}"/>
    <cellStyle name="Moneda 2 8 10" xfId="1346" xr:uid="{00000000-0005-0000-0000-00008E050000}"/>
    <cellStyle name="Moneda 2 8 11" xfId="1347" xr:uid="{00000000-0005-0000-0000-00008F050000}"/>
    <cellStyle name="Moneda 2 8 12" xfId="1348" xr:uid="{00000000-0005-0000-0000-000090050000}"/>
    <cellStyle name="Moneda 2 8 13" xfId="1349" xr:uid="{00000000-0005-0000-0000-000091050000}"/>
    <cellStyle name="Moneda 2 8 14" xfId="1350" xr:uid="{00000000-0005-0000-0000-000092050000}"/>
    <cellStyle name="Moneda 2 8 15" xfId="1351" xr:uid="{00000000-0005-0000-0000-000093050000}"/>
    <cellStyle name="Moneda 2 8 2" xfId="1352" xr:uid="{00000000-0005-0000-0000-000094050000}"/>
    <cellStyle name="Moneda 2 8 3" xfId="1353" xr:uid="{00000000-0005-0000-0000-000095050000}"/>
    <cellStyle name="Moneda 2 8 4" xfId="1354" xr:uid="{00000000-0005-0000-0000-000096050000}"/>
    <cellStyle name="Moneda 2 8 5" xfId="1355" xr:uid="{00000000-0005-0000-0000-000097050000}"/>
    <cellStyle name="Moneda 2 8 6" xfId="1356" xr:uid="{00000000-0005-0000-0000-000098050000}"/>
    <cellStyle name="Moneda 2 8 7" xfId="1357" xr:uid="{00000000-0005-0000-0000-000099050000}"/>
    <cellStyle name="Moneda 2 8 8" xfId="1358" xr:uid="{00000000-0005-0000-0000-00009A050000}"/>
    <cellStyle name="Moneda 2 8 9" xfId="1359" xr:uid="{00000000-0005-0000-0000-00009B050000}"/>
    <cellStyle name="Moneda 2 9" xfId="1360" xr:uid="{00000000-0005-0000-0000-00009C050000}"/>
    <cellStyle name="Moneda 2 9 10" xfId="1361" xr:uid="{00000000-0005-0000-0000-00009D050000}"/>
    <cellStyle name="Moneda 2 9 11" xfId="1362" xr:uid="{00000000-0005-0000-0000-00009E050000}"/>
    <cellStyle name="Moneda 2 9 12" xfId="1363" xr:uid="{00000000-0005-0000-0000-00009F050000}"/>
    <cellStyle name="Moneda 2 9 13" xfId="1364" xr:uid="{00000000-0005-0000-0000-0000A0050000}"/>
    <cellStyle name="Moneda 2 9 14" xfId="1365" xr:uid="{00000000-0005-0000-0000-0000A1050000}"/>
    <cellStyle name="Moneda 2 9 15" xfId="1366" xr:uid="{00000000-0005-0000-0000-0000A2050000}"/>
    <cellStyle name="Moneda 2 9 2" xfId="1367" xr:uid="{00000000-0005-0000-0000-0000A3050000}"/>
    <cellStyle name="Moneda 2 9 3" xfId="1368" xr:uid="{00000000-0005-0000-0000-0000A4050000}"/>
    <cellStyle name="Moneda 2 9 4" xfId="1369" xr:uid="{00000000-0005-0000-0000-0000A5050000}"/>
    <cellStyle name="Moneda 2 9 5" xfId="1370" xr:uid="{00000000-0005-0000-0000-0000A6050000}"/>
    <cellStyle name="Moneda 2 9 6" xfId="1371" xr:uid="{00000000-0005-0000-0000-0000A7050000}"/>
    <cellStyle name="Moneda 2 9 7" xfId="1372" xr:uid="{00000000-0005-0000-0000-0000A8050000}"/>
    <cellStyle name="Moneda 2 9 8" xfId="1373" xr:uid="{00000000-0005-0000-0000-0000A9050000}"/>
    <cellStyle name="Moneda 2 9 9" xfId="1374" xr:uid="{00000000-0005-0000-0000-0000AA050000}"/>
    <cellStyle name="Monétaire [0]_!!!GO" xfId="1375" xr:uid="{00000000-0005-0000-0000-0000AB050000}"/>
    <cellStyle name="Monétaire_!!!GO" xfId="1376" xr:uid="{00000000-0005-0000-0000-0000AC050000}"/>
    <cellStyle name="Neutral" xfId="5" builtinId="28" customBuiltin="1"/>
    <cellStyle name="Neutral 2" xfId="1377" xr:uid="{00000000-0005-0000-0000-0000AE050000}"/>
    <cellStyle name="Neutral 2 2" xfId="1378" xr:uid="{00000000-0005-0000-0000-0000AF050000}"/>
    <cellStyle name="Neutral 3" xfId="1379" xr:uid="{00000000-0005-0000-0000-0000B0050000}"/>
    <cellStyle name="Normal" xfId="0" builtinId="0"/>
    <cellStyle name="Normal - Style1" xfId="1380" xr:uid="{00000000-0005-0000-0000-0000B2050000}"/>
    <cellStyle name="Normal 10" xfId="1381" xr:uid="{00000000-0005-0000-0000-0000B3050000}"/>
    <cellStyle name="Normal 10 10" xfId="1382" xr:uid="{00000000-0005-0000-0000-0000B4050000}"/>
    <cellStyle name="Normal 10 11" xfId="1383" xr:uid="{00000000-0005-0000-0000-0000B5050000}"/>
    <cellStyle name="Normal 10 12" xfId="1384" xr:uid="{00000000-0005-0000-0000-0000B6050000}"/>
    <cellStyle name="Normal 10 13" xfId="1385" xr:uid="{00000000-0005-0000-0000-0000B7050000}"/>
    <cellStyle name="Normal 10 14" xfId="1386" xr:uid="{00000000-0005-0000-0000-0000B8050000}"/>
    <cellStyle name="Normal 10 15" xfId="1387" xr:uid="{00000000-0005-0000-0000-0000B9050000}"/>
    <cellStyle name="Normal 10 2" xfId="1388" xr:uid="{00000000-0005-0000-0000-0000BA050000}"/>
    <cellStyle name="Normal 10 2 2" xfId="1389" xr:uid="{00000000-0005-0000-0000-0000BB050000}"/>
    <cellStyle name="Normal 10 2 3" xfId="1390" xr:uid="{00000000-0005-0000-0000-0000BC050000}"/>
    <cellStyle name="Normal 10 3" xfId="1391" xr:uid="{00000000-0005-0000-0000-0000BD050000}"/>
    <cellStyle name="Normal 10 4" xfId="1392" xr:uid="{00000000-0005-0000-0000-0000BE050000}"/>
    <cellStyle name="Normal 10 5" xfId="1393" xr:uid="{00000000-0005-0000-0000-0000BF050000}"/>
    <cellStyle name="Normal 10 6" xfId="1394" xr:uid="{00000000-0005-0000-0000-0000C0050000}"/>
    <cellStyle name="Normal 10 7" xfId="1395" xr:uid="{00000000-0005-0000-0000-0000C1050000}"/>
    <cellStyle name="Normal 10 8" xfId="1396" xr:uid="{00000000-0005-0000-0000-0000C2050000}"/>
    <cellStyle name="Normal 10 9" xfId="1397" xr:uid="{00000000-0005-0000-0000-0000C3050000}"/>
    <cellStyle name="Normal 100" xfId="1398" xr:uid="{00000000-0005-0000-0000-0000C4050000}"/>
    <cellStyle name="Normal 101" xfId="1399" xr:uid="{00000000-0005-0000-0000-0000C5050000}"/>
    <cellStyle name="Normal 102" xfId="1400" xr:uid="{00000000-0005-0000-0000-0000C6050000}"/>
    <cellStyle name="Normal 103" xfId="1401" xr:uid="{00000000-0005-0000-0000-0000C7050000}"/>
    <cellStyle name="Normal 104" xfId="1402" xr:uid="{00000000-0005-0000-0000-0000C8050000}"/>
    <cellStyle name="Normal 105" xfId="1403" xr:uid="{00000000-0005-0000-0000-0000C9050000}"/>
    <cellStyle name="Normal 106" xfId="1404" xr:uid="{00000000-0005-0000-0000-0000CA050000}"/>
    <cellStyle name="Normal 107" xfId="1405" xr:uid="{00000000-0005-0000-0000-0000CB050000}"/>
    <cellStyle name="Normal 108" xfId="1406" xr:uid="{00000000-0005-0000-0000-0000CC050000}"/>
    <cellStyle name="Normal 109" xfId="1407" xr:uid="{00000000-0005-0000-0000-0000CD050000}"/>
    <cellStyle name="Normal 109 2" xfId="1408" xr:uid="{00000000-0005-0000-0000-0000CE050000}"/>
    <cellStyle name="Normal 11" xfId="1409" xr:uid="{00000000-0005-0000-0000-0000CF050000}"/>
    <cellStyle name="Normal 110" xfId="1410" xr:uid="{00000000-0005-0000-0000-0000D0050000}"/>
    <cellStyle name="Normal 110 2" xfId="1411" xr:uid="{00000000-0005-0000-0000-0000D1050000}"/>
    <cellStyle name="Normal 111" xfId="1412" xr:uid="{00000000-0005-0000-0000-0000D2050000}"/>
    <cellStyle name="Normal 112" xfId="1413" xr:uid="{00000000-0005-0000-0000-0000D3050000}"/>
    <cellStyle name="Normal 113" xfId="1414" xr:uid="{00000000-0005-0000-0000-0000D4050000}"/>
    <cellStyle name="Normal 113 2" xfId="1415" xr:uid="{00000000-0005-0000-0000-0000D5050000}"/>
    <cellStyle name="Normal 114" xfId="1416" xr:uid="{00000000-0005-0000-0000-0000D6050000}"/>
    <cellStyle name="Normal 114 2" xfId="1417" xr:uid="{00000000-0005-0000-0000-0000D7050000}"/>
    <cellStyle name="Normal 115" xfId="1418" xr:uid="{00000000-0005-0000-0000-0000D8050000}"/>
    <cellStyle name="Normal 115 2" xfId="1419" xr:uid="{00000000-0005-0000-0000-0000D9050000}"/>
    <cellStyle name="Normal 116" xfId="1420" xr:uid="{00000000-0005-0000-0000-0000DA050000}"/>
    <cellStyle name="Normal 117" xfId="1421" xr:uid="{00000000-0005-0000-0000-0000DB050000}"/>
    <cellStyle name="Normal 118" xfId="1422" xr:uid="{00000000-0005-0000-0000-0000DC050000}"/>
    <cellStyle name="Normal 119" xfId="1423" xr:uid="{00000000-0005-0000-0000-0000DD050000}"/>
    <cellStyle name="Normal 12" xfId="1424" xr:uid="{00000000-0005-0000-0000-0000DE050000}"/>
    <cellStyle name="Normal 12 2" xfId="1425" xr:uid="{00000000-0005-0000-0000-0000DF050000}"/>
    <cellStyle name="Normal 120" xfId="1426" xr:uid="{00000000-0005-0000-0000-0000E0050000}"/>
    <cellStyle name="Normal 121" xfId="1427" xr:uid="{00000000-0005-0000-0000-0000E1050000}"/>
    <cellStyle name="Normal 122" xfId="1428" xr:uid="{00000000-0005-0000-0000-0000E2050000}"/>
    <cellStyle name="Normal 123" xfId="1429" xr:uid="{00000000-0005-0000-0000-0000E3050000}"/>
    <cellStyle name="Normal 124" xfId="1430" xr:uid="{00000000-0005-0000-0000-0000E4050000}"/>
    <cellStyle name="Normal 125" xfId="1431" xr:uid="{00000000-0005-0000-0000-0000E5050000}"/>
    <cellStyle name="Normal 126" xfId="1432" xr:uid="{00000000-0005-0000-0000-0000E6050000}"/>
    <cellStyle name="Normal 127" xfId="1433" xr:uid="{00000000-0005-0000-0000-0000E7050000}"/>
    <cellStyle name="Normal 128" xfId="1434" xr:uid="{00000000-0005-0000-0000-0000E8050000}"/>
    <cellStyle name="Normal 129" xfId="1435" xr:uid="{00000000-0005-0000-0000-0000E9050000}"/>
    <cellStyle name="Normal 13" xfId="1436" xr:uid="{00000000-0005-0000-0000-0000EA050000}"/>
    <cellStyle name="Normal 13 10" xfId="1437" xr:uid="{00000000-0005-0000-0000-0000EB050000}"/>
    <cellStyle name="Normal 13 11" xfId="1438" xr:uid="{00000000-0005-0000-0000-0000EC050000}"/>
    <cellStyle name="Normal 13 12" xfId="1439" xr:uid="{00000000-0005-0000-0000-0000ED050000}"/>
    <cellStyle name="Normal 13 13" xfId="1440" xr:uid="{00000000-0005-0000-0000-0000EE050000}"/>
    <cellStyle name="Normal 13 14" xfId="1441" xr:uid="{00000000-0005-0000-0000-0000EF050000}"/>
    <cellStyle name="Normal 13 15" xfId="1442" xr:uid="{00000000-0005-0000-0000-0000F0050000}"/>
    <cellStyle name="Normal 13 16" xfId="1443" xr:uid="{00000000-0005-0000-0000-0000F1050000}"/>
    <cellStyle name="Normal 13 2" xfId="1444" xr:uid="{00000000-0005-0000-0000-0000F2050000}"/>
    <cellStyle name="Normal 13 3" xfId="1445" xr:uid="{00000000-0005-0000-0000-0000F3050000}"/>
    <cellStyle name="Normal 13 4" xfId="1446" xr:uid="{00000000-0005-0000-0000-0000F4050000}"/>
    <cellStyle name="Normal 13 5" xfId="1447" xr:uid="{00000000-0005-0000-0000-0000F5050000}"/>
    <cellStyle name="Normal 13 6" xfId="1448" xr:uid="{00000000-0005-0000-0000-0000F6050000}"/>
    <cellStyle name="Normal 13 7" xfId="1449" xr:uid="{00000000-0005-0000-0000-0000F7050000}"/>
    <cellStyle name="Normal 13 8" xfId="1450" xr:uid="{00000000-0005-0000-0000-0000F8050000}"/>
    <cellStyle name="Normal 13 9" xfId="1451" xr:uid="{00000000-0005-0000-0000-0000F9050000}"/>
    <cellStyle name="Normal 13_Base Datos" xfId="1452" xr:uid="{00000000-0005-0000-0000-0000FA050000}"/>
    <cellStyle name="Normal 130" xfId="1453" xr:uid="{00000000-0005-0000-0000-0000FB050000}"/>
    <cellStyle name="Normal 131" xfId="1454" xr:uid="{00000000-0005-0000-0000-0000FC050000}"/>
    <cellStyle name="Normal 132" xfId="1455" xr:uid="{00000000-0005-0000-0000-0000FD050000}"/>
    <cellStyle name="Normal 133" xfId="1456" xr:uid="{00000000-0005-0000-0000-0000FE050000}"/>
    <cellStyle name="Normal 134" xfId="1457" xr:uid="{00000000-0005-0000-0000-0000FF050000}"/>
    <cellStyle name="Normal 135" xfId="1458" xr:uid="{00000000-0005-0000-0000-000000060000}"/>
    <cellStyle name="Normal 136" xfId="1459" xr:uid="{00000000-0005-0000-0000-000001060000}"/>
    <cellStyle name="Normal 137" xfId="1460" xr:uid="{00000000-0005-0000-0000-000002060000}"/>
    <cellStyle name="Normal 138" xfId="1461" xr:uid="{00000000-0005-0000-0000-000003060000}"/>
    <cellStyle name="Normal 139" xfId="1462" xr:uid="{00000000-0005-0000-0000-000004060000}"/>
    <cellStyle name="Normal 14" xfId="1463" xr:uid="{00000000-0005-0000-0000-000005060000}"/>
    <cellStyle name="Normal 14 10" xfId="1464" xr:uid="{00000000-0005-0000-0000-000006060000}"/>
    <cellStyle name="Normal 14 11" xfId="1465" xr:uid="{00000000-0005-0000-0000-000007060000}"/>
    <cellStyle name="Normal 14 12" xfId="1466" xr:uid="{00000000-0005-0000-0000-000008060000}"/>
    <cellStyle name="Normal 14 13" xfId="1467" xr:uid="{00000000-0005-0000-0000-000009060000}"/>
    <cellStyle name="Normal 14 14" xfId="1468" xr:uid="{00000000-0005-0000-0000-00000A060000}"/>
    <cellStyle name="Normal 14 15" xfId="1469" xr:uid="{00000000-0005-0000-0000-00000B060000}"/>
    <cellStyle name="Normal 14 2" xfId="1470" xr:uid="{00000000-0005-0000-0000-00000C060000}"/>
    <cellStyle name="Normal 14 3" xfId="1471" xr:uid="{00000000-0005-0000-0000-00000D060000}"/>
    <cellStyle name="Normal 14 4" xfId="1472" xr:uid="{00000000-0005-0000-0000-00000E060000}"/>
    <cellStyle name="Normal 14 5" xfId="1473" xr:uid="{00000000-0005-0000-0000-00000F060000}"/>
    <cellStyle name="Normal 14 6" xfId="1474" xr:uid="{00000000-0005-0000-0000-000010060000}"/>
    <cellStyle name="Normal 14 7" xfId="1475" xr:uid="{00000000-0005-0000-0000-000011060000}"/>
    <cellStyle name="Normal 14 8" xfId="1476" xr:uid="{00000000-0005-0000-0000-000012060000}"/>
    <cellStyle name="Normal 14 9" xfId="1477" xr:uid="{00000000-0005-0000-0000-000013060000}"/>
    <cellStyle name="Normal 14_Base Datos" xfId="1478" xr:uid="{00000000-0005-0000-0000-000014060000}"/>
    <cellStyle name="Normal 140" xfId="1479" xr:uid="{00000000-0005-0000-0000-000015060000}"/>
    <cellStyle name="Normal 141" xfId="1480" xr:uid="{00000000-0005-0000-0000-000016060000}"/>
    <cellStyle name="Normal 142" xfId="1481" xr:uid="{00000000-0005-0000-0000-000017060000}"/>
    <cellStyle name="Normal 143" xfId="1482" xr:uid="{00000000-0005-0000-0000-000018060000}"/>
    <cellStyle name="Normal 144" xfId="1483" xr:uid="{00000000-0005-0000-0000-000019060000}"/>
    <cellStyle name="Normal 145" xfId="1484" xr:uid="{00000000-0005-0000-0000-00001A060000}"/>
    <cellStyle name="Normal 146" xfId="1485" xr:uid="{00000000-0005-0000-0000-00001B060000}"/>
    <cellStyle name="Normal 147" xfId="1486" xr:uid="{00000000-0005-0000-0000-00001C060000}"/>
    <cellStyle name="Normal 148" xfId="1487" xr:uid="{00000000-0005-0000-0000-00001D060000}"/>
    <cellStyle name="Normal 149" xfId="1488" xr:uid="{00000000-0005-0000-0000-00001E060000}"/>
    <cellStyle name="Normal 15" xfId="1489" xr:uid="{00000000-0005-0000-0000-00001F060000}"/>
    <cellStyle name="Normal 15 10" xfId="1490" xr:uid="{00000000-0005-0000-0000-000020060000}"/>
    <cellStyle name="Normal 15 11" xfId="1491" xr:uid="{00000000-0005-0000-0000-000021060000}"/>
    <cellStyle name="Normal 15 12" xfId="1492" xr:uid="{00000000-0005-0000-0000-000022060000}"/>
    <cellStyle name="Normal 15 13" xfId="1493" xr:uid="{00000000-0005-0000-0000-000023060000}"/>
    <cellStyle name="Normal 15 14" xfId="1494" xr:uid="{00000000-0005-0000-0000-000024060000}"/>
    <cellStyle name="Normal 15 15" xfId="1495" xr:uid="{00000000-0005-0000-0000-000025060000}"/>
    <cellStyle name="Normal 15 16" xfId="1496" xr:uid="{00000000-0005-0000-0000-000026060000}"/>
    <cellStyle name="Normal 15 2" xfId="1497" xr:uid="{00000000-0005-0000-0000-000027060000}"/>
    <cellStyle name="Normal 15 3" xfId="1498" xr:uid="{00000000-0005-0000-0000-000028060000}"/>
    <cellStyle name="Normal 15 4" xfId="1499" xr:uid="{00000000-0005-0000-0000-000029060000}"/>
    <cellStyle name="Normal 15 5" xfId="1500" xr:uid="{00000000-0005-0000-0000-00002A060000}"/>
    <cellStyle name="Normal 15 6" xfId="1501" xr:uid="{00000000-0005-0000-0000-00002B060000}"/>
    <cellStyle name="Normal 15 7" xfId="1502" xr:uid="{00000000-0005-0000-0000-00002C060000}"/>
    <cellStyle name="Normal 15 8" xfId="1503" xr:uid="{00000000-0005-0000-0000-00002D060000}"/>
    <cellStyle name="Normal 15 9" xfId="1504" xr:uid="{00000000-0005-0000-0000-00002E060000}"/>
    <cellStyle name="Normal 15_Base Datos" xfId="1505" xr:uid="{00000000-0005-0000-0000-00002F060000}"/>
    <cellStyle name="Normal 150" xfId="1506" xr:uid="{00000000-0005-0000-0000-000030060000}"/>
    <cellStyle name="Normal 151" xfId="1507" xr:uid="{00000000-0005-0000-0000-000031060000}"/>
    <cellStyle name="Normal 152" xfId="1508" xr:uid="{00000000-0005-0000-0000-000032060000}"/>
    <cellStyle name="Normal 153" xfId="1509" xr:uid="{00000000-0005-0000-0000-000033060000}"/>
    <cellStyle name="Normal 154" xfId="1510" xr:uid="{00000000-0005-0000-0000-000034060000}"/>
    <cellStyle name="Normal 155" xfId="1511" xr:uid="{00000000-0005-0000-0000-000035060000}"/>
    <cellStyle name="Normal 156" xfId="1512" xr:uid="{00000000-0005-0000-0000-000036060000}"/>
    <cellStyle name="Normal 157" xfId="1513" xr:uid="{00000000-0005-0000-0000-000037060000}"/>
    <cellStyle name="Normal 158" xfId="1514" xr:uid="{00000000-0005-0000-0000-000038060000}"/>
    <cellStyle name="Normal 159" xfId="1515" xr:uid="{00000000-0005-0000-0000-000039060000}"/>
    <cellStyle name="Normal 16" xfId="1516" xr:uid="{00000000-0005-0000-0000-00003A060000}"/>
    <cellStyle name="Normal 16 10" xfId="1517" xr:uid="{00000000-0005-0000-0000-00003B060000}"/>
    <cellStyle name="Normal 16 11" xfId="1518" xr:uid="{00000000-0005-0000-0000-00003C060000}"/>
    <cellStyle name="Normal 16 12" xfId="1519" xr:uid="{00000000-0005-0000-0000-00003D060000}"/>
    <cellStyle name="Normal 16 13" xfId="1520" xr:uid="{00000000-0005-0000-0000-00003E060000}"/>
    <cellStyle name="Normal 16 14" xfId="1521" xr:uid="{00000000-0005-0000-0000-00003F060000}"/>
    <cellStyle name="Normal 16 15" xfId="1522" xr:uid="{00000000-0005-0000-0000-000040060000}"/>
    <cellStyle name="Normal 16 16" xfId="1523" xr:uid="{00000000-0005-0000-0000-000041060000}"/>
    <cellStyle name="Normal 16 2" xfId="1524" xr:uid="{00000000-0005-0000-0000-000042060000}"/>
    <cellStyle name="Normal 16 3" xfId="1525" xr:uid="{00000000-0005-0000-0000-000043060000}"/>
    <cellStyle name="Normal 16 4" xfId="1526" xr:uid="{00000000-0005-0000-0000-000044060000}"/>
    <cellStyle name="Normal 16 5" xfId="1527" xr:uid="{00000000-0005-0000-0000-000045060000}"/>
    <cellStyle name="Normal 16 6" xfId="1528" xr:uid="{00000000-0005-0000-0000-000046060000}"/>
    <cellStyle name="Normal 16 7" xfId="1529" xr:uid="{00000000-0005-0000-0000-000047060000}"/>
    <cellStyle name="Normal 16 8" xfId="1530" xr:uid="{00000000-0005-0000-0000-000048060000}"/>
    <cellStyle name="Normal 16 9" xfId="1531" xr:uid="{00000000-0005-0000-0000-000049060000}"/>
    <cellStyle name="Normal 16_Base Datos" xfId="1532" xr:uid="{00000000-0005-0000-0000-00004A060000}"/>
    <cellStyle name="Normal 160" xfId="1533" xr:uid="{00000000-0005-0000-0000-00004B060000}"/>
    <cellStyle name="Normal 161" xfId="1534" xr:uid="{00000000-0005-0000-0000-00004C060000}"/>
    <cellStyle name="Normal 162" xfId="1535" xr:uid="{00000000-0005-0000-0000-00004D060000}"/>
    <cellStyle name="Normal 163" xfId="1536" xr:uid="{00000000-0005-0000-0000-00004E060000}"/>
    <cellStyle name="Normal 164" xfId="1537" xr:uid="{00000000-0005-0000-0000-00004F060000}"/>
    <cellStyle name="Normal 165" xfId="1538" xr:uid="{00000000-0005-0000-0000-000050060000}"/>
    <cellStyle name="Normal 166" xfId="1539" xr:uid="{00000000-0005-0000-0000-000051060000}"/>
    <cellStyle name="Normal 167" xfId="1540" xr:uid="{00000000-0005-0000-0000-000052060000}"/>
    <cellStyle name="Normal 168" xfId="1541" xr:uid="{00000000-0005-0000-0000-000053060000}"/>
    <cellStyle name="Normal 169" xfId="1542" xr:uid="{00000000-0005-0000-0000-000054060000}"/>
    <cellStyle name="Normal 17" xfId="1543" xr:uid="{00000000-0005-0000-0000-000055060000}"/>
    <cellStyle name="Normal 17 10" xfId="1544" xr:uid="{00000000-0005-0000-0000-000056060000}"/>
    <cellStyle name="Normal 17 11" xfId="1545" xr:uid="{00000000-0005-0000-0000-000057060000}"/>
    <cellStyle name="Normal 17 12" xfId="1546" xr:uid="{00000000-0005-0000-0000-000058060000}"/>
    <cellStyle name="Normal 17 13" xfId="1547" xr:uid="{00000000-0005-0000-0000-000059060000}"/>
    <cellStyle name="Normal 17 14" xfId="1548" xr:uid="{00000000-0005-0000-0000-00005A060000}"/>
    <cellStyle name="Normal 17 15" xfId="1549" xr:uid="{00000000-0005-0000-0000-00005B060000}"/>
    <cellStyle name="Normal 17 16" xfId="1550" xr:uid="{00000000-0005-0000-0000-00005C060000}"/>
    <cellStyle name="Normal 17 2" xfId="1551" xr:uid="{00000000-0005-0000-0000-00005D060000}"/>
    <cellStyle name="Normal 17 3" xfId="1552" xr:uid="{00000000-0005-0000-0000-00005E060000}"/>
    <cellStyle name="Normal 17 4" xfId="1553" xr:uid="{00000000-0005-0000-0000-00005F060000}"/>
    <cellStyle name="Normal 17 5" xfId="1554" xr:uid="{00000000-0005-0000-0000-000060060000}"/>
    <cellStyle name="Normal 17 6" xfId="1555" xr:uid="{00000000-0005-0000-0000-000061060000}"/>
    <cellStyle name="Normal 17 7" xfId="1556" xr:uid="{00000000-0005-0000-0000-000062060000}"/>
    <cellStyle name="Normal 17 8" xfId="1557" xr:uid="{00000000-0005-0000-0000-000063060000}"/>
    <cellStyle name="Normal 17 9" xfId="1558" xr:uid="{00000000-0005-0000-0000-000064060000}"/>
    <cellStyle name="Normal 17_Base Datos" xfId="1559" xr:uid="{00000000-0005-0000-0000-000065060000}"/>
    <cellStyle name="Normal 170" xfId="1560" xr:uid="{00000000-0005-0000-0000-000066060000}"/>
    <cellStyle name="Normal 171" xfId="1561" xr:uid="{00000000-0005-0000-0000-000067060000}"/>
    <cellStyle name="Normal 172" xfId="1562" xr:uid="{00000000-0005-0000-0000-000068060000}"/>
    <cellStyle name="Normal 173" xfId="1563" xr:uid="{00000000-0005-0000-0000-000069060000}"/>
    <cellStyle name="Normal 174" xfId="1564" xr:uid="{00000000-0005-0000-0000-00006A060000}"/>
    <cellStyle name="Normal 175" xfId="1565" xr:uid="{00000000-0005-0000-0000-00006B060000}"/>
    <cellStyle name="Normal 176" xfId="1566" xr:uid="{00000000-0005-0000-0000-00006C060000}"/>
    <cellStyle name="Normal 177" xfId="1567" xr:uid="{00000000-0005-0000-0000-00006D060000}"/>
    <cellStyle name="Normal 178" xfId="1568" xr:uid="{00000000-0005-0000-0000-00006E060000}"/>
    <cellStyle name="Normal 179" xfId="1569" xr:uid="{00000000-0005-0000-0000-00006F060000}"/>
    <cellStyle name="Normal 18" xfId="1570" xr:uid="{00000000-0005-0000-0000-000070060000}"/>
    <cellStyle name="Normal 180" xfId="1571" xr:uid="{00000000-0005-0000-0000-000071060000}"/>
    <cellStyle name="Normal 181" xfId="1572" xr:uid="{00000000-0005-0000-0000-000072060000}"/>
    <cellStyle name="Normal 182" xfId="1573" xr:uid="{00000000-0005-0000-0000-000073060000}"/>
    <cellStyle name="Normal 183" xfId="1574" xr:uid="{00000000-0005-0000-0000-000074060000}"/>
    <cellStyle name="Normal 184" xfId="1575" xr:uid="{00000000-0005-0000-0000-000075060000}"/>
    <cellStyle name="Normal 185" xfId="1576" xr:uid="{00000000-0005-0000-0000-000076060000}"/>
    <cellStyle name="Normal 186" xfId="1577" xr:uid="{00000000-0005-0000-0000-000077060000}"/>
    <cellStyle name="Normal 187" xfId="1578" xr:uid="{00000000-0005-0000-0000-000078060000}"/>
    <cellStyle name="Normal 188" xfId="1579" xr:uid="{00000000-0005-0000-0000-000079060000}"/>
    <cellStyle name="Normal 189" xfId="1580" xr:uid="{00000000-0005-0000-0000-00007A060000}"/>
    <cellStyle name="Normal 19" xfId="1581" xr:uid="{00000000-0005-0000-0000-00007B060000}"/>
    <cellStyle name="Normal 190" xfId="1582" xr:uid="{00000000-0005-0000-0000-00007C060000}"/>
    <cellStyle name="Normal 191" xfId="1583" xr:uid="{00000000-0005-0000-0000-00007D060000}"/>
    <cellStyle name="Normal 192" xfId="1584" xr:uid="{00000000-0005-0000-0000-00007E060000}"/>
    <cellStyle name="Normal 193" xfId="1585" xr:uid="{00000000-0005-0000-0000-00007F060000}"/>
    <cellStyle name="Normal 194" xfId="1586" xr:uid="{00000000-0005-0000-0000-000080060000}"/>
    <cellStyle name="Normal 195" xfId="1587" xr:uid="{00000000-0005-0000-0000-000081060000}"/>
    <cellStyle name="Normal 196" xfId="1588" xr:uid="{00000000-0005-0000-0000-000082060000}"/>
    <cellStyle name="Normal 2" xfId="1589" xr:uid="{00000000-0005-0000-0000-000083060000}"/>
    <cellStyle name="Normal 2 10" xfId="1590" xr:uid="{00000000-0005-0000-0000-000084060000}"/>
    <cellStyle name="Normal 2 11" xfId="1591" xr:uid="{00000000-0005-0000-0000-000085060000}"/>
    <cellStyle name="Normal 2 12" xfId="1592" xr:uid="{00000000-0005-0000-0000-000086060000}"/>
    <cellStyle name="Normal 2 13" xfId="1593" xr:uid="{00000000-0005-0000-0000-000087060000}"/>
    <cellStyle name="Normal 2 14" xfId="1594" xr:uid="{00000000-0005-0000-0000-000088060000}"/>
    <cellStyle name="Normal 2 15" xfId="1595" xr:uid="{00000000-0005-0000-0000-000089060000}"/>
    <cellStyle name="Normal 2 16" xfId="1596" xr:uid="{00000000-0005-0000-0000-00008A060000}"/>
    <cellStyle name="Normal 2 17" xfId="1597" xr:uid="{00000000-0005-0000-0000-00008B060000}"/>
    <cellStyle name="Normal 2 18" xfId="1598" xr:uid="{00000000-0005-0000-0000-00008C060000}"/>
    <cellStyle name="Normal 2 19" xfId="1599" xr:uid="{00000000-0005-0000-0000-00008D060000}"/>
    <cellStyle name="Normal 2 2" xfId="1600" xr:uid="{00000000-0005-0000-0000-00008E060000}"/>
    <cellStyle name="Normal 2 2 10" xfId="1601" xr:uid="{00000000-0005-0000-0000-00008F060000}"/>
    <cellStyle name="Normal 2 2 10 10" xfId="1602" xr:uid="{00000000-0005-0000-0000-000090060000}"/>
    <cellStyle name="Normal 2 2 10 11" xfId="1603" xr:uid="{00000000-0005-0000-0000-000091060000}"/>
    <cellStyle name="Normal 2 2 10 12" xfId="1604" xr:uid="{00000000-0005-0000-0000-000092060000}"/>
    <cellStyle name="Normal 2 2 10 13" xfId="1605" xr:uid="{00000000-0005-0000-0000-000093060000}"/>
    <cellStyle name="Normal 2 2 10 14" xfId="1606" xr:uid="{00000000-0005-0000-0000-000094060000}"/>
    <cellStyle name="Normal 2 2 10 15" xfId="1607" xr:uid="{00000000-0005-0000-0000-000095060000}"/>
    <cellStyle name="Normal 2 2 10 2" xfId="1608" xr:uid="{00000000-0005-0000-0000-000096060000}"/>
    <cellStyle name="Normal 2 2 10 3" xfId="1609" xr:uid="{00000000-0005-0000-0000-000097060000}"/>
    <cellStyle name="Normal 2 2 10 4" xfId="1610" xr:uid="{00000000-0005-0000-0000-000098060000}"/>
    <cellStyle name="Normal 2 2 10 5" xfId="1611" xr:uid="{00000000-0005-0000-0000-000099060000}"/>
    <cellStyle name="Normal 2 2 10 6" xfId="1612" xr:uid="{00000000-0005-0000-0000-00009A060000}"/>
    <cellStyle name="Normal 2 2 10 7" xfId="1613" xr:uid="{00000000-0005-0000-0000-00009B060000}"/>
    <cellStyle name="Normal 2 2 10 8" xfId="1614" xr:uid="{00000000-0005-0000-0000-00009C060000}"/>
    <cellStyle name="Normal 2 2 10 9" xfId="1615" xr:uid="{00000000-0005-0000-0000-00009D060000}"/>
    <cellStyle name="Normal 2 2 10_Base Datos" xfId="1616" xr:uid="{00000000-0005-0000-0000-00009E060000}"/>
    <cellStyle name="Normal 2 2 11" xfId="1617" xr:uid="{00000000-0005-0000-0000-00009F060000}"/>
    <cellStyle name="Normal 2 2 11 10" xfId="1618" xr:uid="{00000000-0005-0000-0000-0000A0060000}"/>
    <cellStyle name="Normal 2 2 11 11" xfId="1619" xr:uid="{00000000-0005-0000-0000-0000A1060000}"/>
    <cellStyle name="Normal 2 2 11 12" xfId="1620" xr:uid="{00000000-0005-0000-0000-0000A2060000}"/>
    <cellStyle name="Normal 2 2 11 13" xfId="1621" xr:uid="{00000000-0005-0000-0000-0000A3060000}"/>
    <cellStyle name="Normal 2 2 11 14" xfId="1622" xr:uid="{00000000-0005-0000-0000-0000A4060000}"/>
    <cellStyle name="Normal 2 2 11 15" xfId="1623" xr:uid="{00000000-0005-0000-0000-0000A5060000}"/>
    <cellStyle name="Normal 2 2 11 2" xfId="1624" xr:uid="{00000000-0005-0000-0000-0000A6060000}"/>
    <cellStyle name="Normal 2 2 11 3" xfId="1625" xr:uid="{00000000-0005-0000-0000-0000A7060000}"/>
    <cellStyle name="Normal 2 2 11 4" xfId="1626" xr:uid="{00000000-0005-0000-0000-0000A8060000}"/>
    <cellStyle name="Normal 2 2 11 5" xfId="1627" xr:uid="{00000000-0005-0000-0000-0000A9060000}"/>
    <cellStyle name="Normal 2 2 11 6" xfId="1628" xr:uid="{00000000-0005-0000-0000-0000AA060000}"/>
    <cellStyle name="Normal 2 2 11 7" xfId="1629" xr:uid="{00000000-0005-0000-0000-0000AB060000}"/>
    <cellStyle name="Normal 2 2 11 8" xfId="1630" xr:uid="{00000000-0005-0000-0000-0000AC060000}"/>
    <cellStyle name="Normal 2 2 11 9" xfId="1631" xr:uid="{00000000-0005-0000-0000-0000AD060000}"/>
    <cellStyle name="Normal 2 2 11_Base Datos" xfId="1632" xr:uid="{00000000-0005-0000-0000-0000AE060000}"/>
    <cellStyle name="Normal 2 2 12" xfId="1633" xr:uid="{00000000-0005-0000-0000-0000AF060000}"/>
    <cellStyle name="Normal 2 2 12 10" xfId="1634" xr:uid="{00000000-0005-0000-0000-0000B0060000}"/>
    <cellStyle name="Normal 2 2 12 11" xfId="1635" xr:uid="{00000000-0005-0000-0000-0000B1060000}"/>
    <cellStyle name="Normal 2 2 12 12" xfId="1636" xr:uid="{00000000-0005-0000-0000-0000B2060000}"/>
    <cellStyle name="Normal 2 2 12 13" xfId="1637" xr:uid="{00000000-0005-0000-0000-0000B3060000}"/>
    <cellStyle name="Normal 2 2 12 14" xfId="1638" xr:uid="{00000000-0005-0000-0000-0000B4060000}"/>
    <cellStyle name="Normal 2 2 12 15" xfId="1639" xr:uid="{00000000-0005-0000-0000-0000B5060000}"/>
    <cellStyle name="Normal 2 2 12 2" xfId="1640" xr:uid="{00000000-0005-0000-0000-0000B6060000}"/>
    <cellStyle name="Normal 2 2 12 3" xfId="1641" xr:uid="{00000000-0005-0000-0000-0000B7060000}"/>
    <cellStyle name="Normal 2 2 12 4" xfId="1642" xr:uid="{00000000-0005-0000-0000-0000B8060000}"/>
    <cellStyle name="Normal 2 2 12 5" xfId="1643" xr:uid="{00000000-0005-0000-0000-0000B9060000}"/>
    <cellStyle name="Normal 2 2 12 6" xfId="1644" xr:uid="{00000000-0005-0000-0000-0000BA060000}"/>
    <cellStyle name="Normal 2 2 12 7" xfId="1645" xr:uid="{00000000-0005-0000-0000-0000BB060000}"/>
    <cellStyle name="Normal 2 2 12 8" xfId="1646" xr:uid="{00000000-0005-0000-0000-0000BC060000}"/>
    <cellStyle name="Normal 2 2 12 9" xfId="1647" xr:uid="{00000000-0005-0000-0000-0000BD060000}"/>
    <cellStyle name="Normal 2 2 12_Base Datos" xfId="1648" xr:uid="{00000000-0005-0000-0000-0000BE060000}"/>
    <cellStyle name="Normal 2 2 13" xfId="1649" xr:uid="{00000000-0005-0000-0000-0000BF060000}"/>
    <cellStyle name="Normal 2 2 13 10" xfId="1650" xr:uid="{00000000-0005-0000-0000-0000C0060000}"/>
    <cellStyle name="Normal 2 2 13 11" xfId="1651" xr:uid="{00000000-0005-0000-0000-0000C1060000}"/>
    <cellStyle name="Normal 2 2 13 12" xfId="1652" xr:uid="{00000000-0005-0000-0000-0000C2060000}"/>
    <cellStyle name="Normal 2 2 13 13" xfId="1653" xr:uid="{00000000-0005-0000-0000-0000C3060000}"/>
    <cellStyle name="Normal 2 2 13 14" xfId="1654" xr:uid="{00000000-0005-0000-0000-0000C4060000}"/>
    <cellStyle name="Normal 2 2 13 15" xfId="1655" xr:uid="{00000000-0005-0000-0000-0000C5060000}"/>
    <cellStyle name="Normal 2 2 13 2" xfId="1656" xr:uid="{00000000-0005-0000-0000-0000C6060000}"/>
    <cellStyle name="Normal 2 2 13 3" xfId="1657" xr:uid="{00000000-0005-0000-0000-0000C7060000}"/>
    <cellStyle name="Normal 2 2 13 4" xfId="1658" xr:uid="{00000000-0005-0000-0000-0000C8060000}"/>
    <cellStyle name="Normal 2 2 13 5" xfId="1659" xr:uid="{00000000-0005-0000-0000-0000C9060000}"/>
    <cellStyle name="Normal 2 2 13 6" xfId="1660" xr:uid="{00000000-0005-0000-0000-0000CA060000}"/>
    <cellStyle name="Normal 2 2 13 7" xfId="1661" xr:uid="{00000000-0005-0000-0000-0000CB060000}"/>
    <cellStyle name="Normal 2 2 13 8" xfId="1662" xr:uid="{00000000-0005-0000-0000-0000CC060000}"/>
    <cellStyle name="Normal 2 2 13 9" xfId="1663" xr:uid="{00000000-0005-0000-0000-0000CD060000}"/>
    <cellStyle name="Normal 2 2 13_Base Datos" xfId="1664" xr:uid="{00000000-0005-0000-0000-0000CE060000}"/>
    <cellStyle name="Normal 2 2 14" xfId="1665" xr:uid="{00000000-0005-0000-0000-0000CF060000}"/>
    <cellStyle name="Normal 2 2 14 10" xfId="1666" xr:uid="{00000000-0005-0000-0000-0000D0060000}"/>
    <cellStyle name="Normal 2 2 14 11" xfId="1667" xr:uid="{00000000-0005-0000-0000-0000D1060000}"/>
    <cellStyle name="Normal 2 2 14 12" xfId="1668" xr:uid="{00000000-0005-0000-0000-0000D2060000}"/>
    <cellStyle name="Normal 2 2 14 13" xfId="1669" xr:uid="{00000000-0005-0000-0000-0000D3060000}"/>
    <cellStyle name="Normal 2 2 14 14" xfId="1670" xr:uid="{00000000-0005-0000-0000-0000D4060000}"/>
    <cellStyle name="Normal 2 2 14 15" xfId="1671" xr:uid="{00000000-0005-0000-0000-0000D5060000}"/>
    <cellStyle name="Normal 2 2 14 2" xfId="1672" xr:uid="{00000000-0005-0000-0000-0000D6060000}"/>
    <cellStyle name="Normal 2 2 14 3" xfId="1673" xr:uid="{00000000-0005-0000-0000-0000D7060000}"/>
    <cellStyle name="Normal 2 2 14 4" xfId="1674" xr:uid="{00000000-0005-0000-0000-0000D8060000}"/>
    <cellStyle name="Normal 2 2 14 5" xfId="1675" xr:uid="{00000000-0005-0000-0000-0000D9060000}"/>
    <cellStyle name="Normal 2 2 14 6" xfId="1676" xr:uid="{00000000-0005-0000-0000-0000DA060000}"/>
    <cellStyle name="Normal 2 2 14 7" xfId="1677" xr:uid="{00000000-0005-0000-0000-0000DB060000}"/>
    <cellStyle name="Normal 2 2 14 8" xfId="1678" xr:uid="{00000000-0005-0000-0000-0000DC060000}"/>
    <cellStyle name="Normal 2 2 14 9" xfId="1679" xr:uid="{00000000-0005-0000-0000-0000DD060000}"/>
    <cellStyle name="Normal 2 2 14_Base Datos" xfId="1680" xr:uid="{00000000-0005-0000-0000-0000DE060000}"/>
    <cellStyle name="Normal 2 2 15" xfId="1681" xr:uid="{00000000-0005-0000-0000-0000DF060000}"/>
    <cellStyle name="Normal 2 2 15 10" xfId="1682" xr:uid="{00000000-0005-0000-0000-0000E0060000}"/>
    <cellStyle name="Normal 2 2 15 11" xfId="1683" xr:uid="{00000000-0005-0000-0000-0000E1060000}"/>
    <cellStyle name="Normal 2 2 15 12" xfId="1684" xr:uid="{00000000-0005-0000-0000-0000E2060000}"/>
    <cellStyle name="Normal 2 2 15 13" xfId="1685" xr:uid="{00000000-0005-0000-0000-0000E3060000}"/>
    <cellStyle name="Normal 2 2 15 14" xfId="1686" xr:uid="{00000000-0005-0000-0000-0000E4060000}"/>
    <cellStyle name="Normal 2 2 15 15" xfId="1687" xr:uid="{00000000-0005-0000-0000-0000E5060000}"/>
    <cellStyle name="Normal 2 2 15 2" xfId="1688" xr:uid="{00000000-0005-0000-0000-0000E6060000}"/>
    <cellStyle name="Normal 2 2 15 3" xfId="1689" xr:uid="{00000000-0005-0000-0000-0000E7060000}"/>
    <cellStyle name="Normal 2 2 15 4" xfId="1690" xr:uid="{00000000-0005-0000-0000-0000E8060000}"/>
    <cellStyle name="Normal 2 2 15 5" xfId="1691" xr:uid="{00000000-0005-0000-0000-0000E9060000}"/>
    <cellStyle name="Normal 2 2 15 6" xfId="1692" xr:uid="{00000000-0005-0000-0000-0000EA060000}"/>
    <cellStyle name="Normal 2 2 15 7" xfId="1693" xr:uid="{00000000-0005-0000-0000-0000EB060000}"/>
    <cellStyle name="Normal 2 2 15 8" xfId="1694" xr:uid="{00000000-0005-0000-0000-0000EC060000}"/>
    <cellStyle name="Normal 2 2 15 9" xfId="1695" xr:uid="{00000000-0005-0000-0000-0000ED060000}"/>
    <cellStyle name="Normal 2 2 15_Base Datos" xfId="1696" xr:uid="{00000000-0005-0000-0000-0000EE060000}"/>
    <cellStyle name="Normal 2 2 16" xfId="1697" xr:uid="{00000000-0005-0000-0000-0000EF060000}"/>
    <cellStyle name="Normal 2 2 16 10" xfId="1698" xr:uid="{00000000-0005-0000-0000-0000F0060000}"/>
    <cellStyle name="Normal 2 2 16 11" xfId="1699" xr:uid="{00000000-0005-0000-0000-0000F1060000}"/>
    <cellStyle name="Normal 2 2 16 12" xfId="1700" xr:uid="{00000000-0005-0000-0000-0000F2060000}"/>
    <cellStyle name="Normal 2 2 16 13" xfId="1701" xr:uid="{00000000-0005-0000-0000-0000F3060000}"/>
    <cellStyle name="Normal 2 2 16 14" xfId="1702" xr:uid="{00000000-0005-0000-0000-0000F4060000}"/>
    <cellStyle name="Normal 2 2 16 15" xfId="1703" xr:uid="{00000000-0005-0000-0000-0000F5060000}"/>
    <cellStyle name="Normal 2 2 16 16" xfId="1704" xr:uid="{00000000-0005-0000-0000-0000F6060000}"/>
    <cellStyle name="Normal 2 2 16 2" xfId="1705" xr:uid="{00000000-0005-0000-0000-0000F7060000}"/>
    <cellStyle name="Normal 2 2 16 2 2" xfId="1706" xr:uid="{00000000-0005-0000-0000-0000F8060000}"/>
    <cellStyle name="Normal 2 2 16 3" xfId="1707" xr:uid="{00000000-0005-0000-0000-0000F9060000}"/>
    <cellStyle name="Normal 2 2 16 3 2" xfId="1708" xr:uid="{00000000-0005-0000-0000-0000FA060000}"/>
    <cellStyle name="Normal 2 2 16 4" xfId="1709" xr:uid="{00000000-0005-0000-0000-0000FB060000}"/>
    <cellStyle name="Normal 2 2 16 5" xfId="1710" xr:uid="{00000000-0005-0000-0000-0000FC060000}"/>
    <cellStyle name="Normal 2 2 16 6" xfId="1711" xr:uid="{00000000-0005-0000-0000-0000FD060000}"/>
    <cellStyle name="Normal 2 2 16 7" xfId="1712" xr:uid="{00000000-0005-0000-0000-0000FE060000}"/>
    <cellStyle name="Normal 2 2 16 8" xfId="1713" xr:uid="{00000000-0005-0000-0000-0000FF060000}"/>
    <cellStyle name="Normal 2 2 16 9" xfId="1714" xr:uid="{00000000-0005-0000-0000-000000070000}"/>
    <cellStyle name="Normal 2 2 16_Base Datos" xfId="1715" xr:uid="{00000000-0005-0000-0000-000001070000}"/>
    <cellStyle name="Normal 2 2 17" xfId="1716" xr:uid="{00000000-0005-0000-0000-000002070000}"/>
    <cellStyle name="Normal 2 2 17 10" xfId="1717" xr:uid="{00000000-0005-0000-0000-000003070000}"/>
    <cellStyle name="Normal 2 2 17 11" xfId="1718" xr:uid="{00000000-0005-0000-0000-000004070000}"/>
    <cellStyle name="Normal 2 2 17 12" xfId="1719" xr:uid="{00000000-0005-0000-0000-000005070000}"/>
    <cellStyle name="Normal 2 2 17 13" xfId="1720" xr:uid="{00000000-0005-0000-0000-000006070000}"/>
    <cellStyle name="Normal 2 2 17 14" xfId="1721" xr:uid="{00000000-0005-0000-0000-000007070000}"/>
    <cellStyle name="Normal 2 2 17 15" xfId="1722" xr:uid="{00000000-0005-0000-0000-000008070000}"/>
    <cellStyle name="Normal 2 2 17 16" xfId="1723" xr:uid="{00000000-0005-0000-0000-000009070000}"/>
    <cellStyle name="Normal 2 2 17 2" xfId="1724" xr:uid="{00000000-0005-0000-0000-00000A070000}"/>
    <cellStyle name="Normal 2 2 17 2 2" xfId="1725" xr:uid="{00000000-0005-0000-0000-00000B070000}"/>
    <cellStyle name="Normal 2 2 17 3" xfId="1726" xr:uid="{00000000-0005-0000-0000-00000C070000}"/>
    <cellStyle name="Normal 2 2 17 4" xfId="1727" xr:uid="{00000000-0005-0000-0000-00000D070000}"/>
    <cellStyle name="Normal 2 2 17 5" xfId="1728" xr:uid="{00000000-0005-0000-0000-00000E070000}"/>
    <cellStyle name="Normal 2 2 17 6" xfId="1729" xr:uid="{00000000-0005-0000-0000-00000F070000}"/>
    <cellStyle name="Normal 2 2 17 7" xfId="1730" xr:uid="{00000000-0005-0000-0000-000010070000}"/>
    <cellStyle name="Normal 2 2 17 8" xfId="1731" xr:uid="{00000000-0005-0000-0000-000011070000}"/>
    <cellStyle name="Normal 2 2 17 9" xfId="1732" xr:uid="{00000000-0005-0000-0000-000012070000}"/>
    <cellStyle name="Normal 2 2 17_Base Datos" xfId="1733" xr:uid="{00000000-0005-0000-0000-000013070000}"/>
    <cellStyle name="Normal 2 2 18" xfId="1734" xr:uid="{00000000-0005-0000-0000-000014070000}"/>
    <cellStyle name="Normal 2 2 18 10" xfId="1735" xr:uid="{00000000-0005-0000-0000-000015070000}"/>
    <cellStyle name="Normal 2 2 18 11" xfId="1736" xr:uid="{00000000-0005-0000-0000-000016070000}"/>
    <cellStyle name="Normal 2 2 18 12" xfId="1737" xr:uid="{00000000-0005-0000-0000-000017070000}"/>
    <cellStyle name="Normal 2 2 18 13" xfId="1738" xr:uid="{00000000-0005-0000-0000-000018070000}"/>
    <cellStyle name="Normal 2 2 18 14" xfId="1739" xr:uid="{00000000-0005-0000-0000-000019070000}"/>
    <cellStyle name="Normal 2 2 18 15" xfId="1740" xr:uid="{00000000-0005-0000-0000-00001A070000}"/>
    <cellStyle name="Normal 2 2 18 16" xfId="1741" xr:uid="{00000000-0005-0000-0000-00001B070000}"/>
    <cellStyle name="Normal 2 2 18 2" xfId="1742" xr:uid="{00000000-0005-0000-0000-00001C070000}"/>
    <cellStyle name="Normal 2 2 18 3" xfId="1743" xr:uid="{00000000-0005-0000-0000-00001D070000}"/>
    <cellStyle name="Normal 2 2 18 4" xfId="1744" xr:uid="{00000000-0005-0000-0000-00001E070000}"/>
    <cellStyle name="Normal 2 2 18 5" xfId="1745" xr:uid="{00000000-0005-0000-0000-00001F070000}"/>
    <cellStyle name="Normal 2 2 18 6" xfId="1746" xr:uid="{00000000-0005-0000-0000-000020070000}"/>
    <cellStyle name="Normal 2 2 18 7" xfId="1747" xr:uid="{00000000-0005-0000-0000-000021070000}"/>
    <cellStyle name="Normal 2 2 18 8" xfId="1748" xr:uid="{00000000-0005-0000-0000-000022070000}"/>
    <cellStyle name="Normal 2 2 18 9" xfId="1749" xr:uid="{00000000-0005-0000-0000-000023070000}"/>
    <cellStyle name="Normal 2 2 18_Base Datos" xfId="1750" xr:uid="{00000000-0005-0000-0000-000024070000}"/>
    <cellStyle name="Normal 2 2 19" xfId="1751" xr:uid="{00000000-0005-0000-0000-000025070000}"/>
    <cellStyle name="Normal 2 2 19 10" xfId="1752" xr:uid="{00000000-0005-0000-0000-000026070000}"/>
    <cellStyle name="Normal 2 2 19 11" xfId="1753" xr:uid="{00000000-0005-0000-0000-000027070000}"/>
    <cellStyle name="Normal 2 2 19 12" xfId="1754" xr:uid="{00000000-0005-0000-0000-000028070000}"/>
    <cellStyle name="Normal 2 2 19 13" xfId="1755" xr:uid="{00000000-0005-0000-0000-000029070000}"/>
    <cellStyle name="Normal 2 2 19 14" xfId="1756" xr:uid="{00000000-0005-0000-0000-00002A070000}"/>
    <cellStyle name="Normal 2 2 19 15" xfId="1757" xr:uid="{00000000-0005-0000-0000-00002B070000}"/>
    <cellStyle name="Normal 2 2 19 2" xfId="1758" xr:uid="{00000000-0005-0000-0000-00002C070000}"/>
    <cellStyle name="Normal 2 2 19 3" xfId="1759" xr:uid="{00000000-0005-0000-0000-00002D070000}"/>
    <cellStyle name="Normal 2 2 19 4" xfId="1760" xr:uid="{00000000-0005-0000-0000-00002E070000}"/>
    <cellStyle name="Normal 2 2 19 5" xfId="1761" xr:uid="{00000000-0005-0000-0000-00002F070000}"/>
    <cellStyle name="Normal 2 2 19 6" xfId="1762" xr:uid="{00000000-0005-0000-0000-000030070000}"/>
    <cellStyle name="Normal 2 2 19 7" xfId="1763" xr:uid="{00000000-0005-0000-0000-000031070000}"/>
    <cellStyle name="Normal 2 2 19 8" xfId="1764" xr:uid="{00000000-0005-0000-0000-000032070000}"/>
    <cellStyle name="Normal 2 2 19 9" xfId="1765" xr:uid="{00000000-0005-0000-0000-000033070000}"/>
    <cellStyle name="Normal 2 2 19_Base Datos" xfId="1766" xr:uid="{00000000-0005-0000-0000-000034070000}"/>
    <cellStyle name="Normal 2 2 2" xfId="1767" xr:uid="{00000000-0005-0000-0000-000035070000}"/>
    <cellStyle name="Normal 2 2 2 10" xfId="1768" xr:uid="{00000000-0005-0000-0000-000036070000}"/>
    <cellStyle name="Normal 2 2 2 11" xfId="1769" xr:uid="{00000000-0005-0000-0000-000037070000}"/>
    <cellStyle name="Normal 2 2 2 12" xfId="1770" xr:uid="{00000000-0005-0000-0000-000038070000}"/>
    <cellStyle name="Normal 2 2 2 13" xfId="1771" xr:uid="{00000000-0005-0000-0000-000039070000}"/>
    <cellStyle name="Normal 2 2 2 14" xfId="1772" xr:uid="{00000000-0005-0000-0000-00003A070000}"/>
    <cellStyle name="Normal 2 2 2 15" xfId="1773" xr:uid="{00000000-0005-0000-0000-00003B070000}"/>
    <cellStyle name="Normal 2 2 2 2" xfId="1774" xr:uid="{00000000-0005-0000-0000-00003C070000}"/>
    <cellStyle name="Normal 2 2 2 2 10" xfId="1775" xr:uid="{00000000-0005-0000-0000-00003D070000}"/>
    <cellStyle name="Normal 2 2 2 2 11" xfId="1776" xr:uid="{00000000-0005-0000-0000-00003E070000}"/>
    <cellStyle name="Normal 2 2 2 2 12" xfId="1777" xr:uid="{00000000-0005-0000-0000-00003F070000}"/>
    <cellStyle name="Normal 2 2 2 2 13" xfId="1778" xr:uid="{00000000-0005-0000-0000-000040070000}"/>
    <cellStyle name="Normal 2 2 2 2 14" xfId="1779" xr:uid="{00000000-0005-0000-0000-000041070000}"/>
    <cellStyle name="Normal 2 2 2 2 15" xfId="1780" xr:uid="{00000000-0005-0000-0000-000042070000}"/>
    <cellStyle name="Normal 2 2 2 2 2" xfId="1781" xr:uid="{00000000-0005-0000-0000-000043070000}"/>
    <cellStyle name="Normal 2 2 2 2 2 2" xfId="1782" xr:uid="{00000000-0005-0000-0000-000044070000}"/>
    <cellStyle name="Normal 2 2 2 2 2 2 2" xfId="1783" xr:uid="{00000000-0005-0000-0000-000045070000}"/>
    <cellStyle name="Normal 2 2 2 2 2 2 3" xfId="1784" xr:uid="{00000000-0005-0000-0000-000046070000}"/>
    <cellStyle name="Normal 2 2 2 2 2 3" xfId="1785" xr:uid="{00000000-0005-0000-0000-000047070000}"/>
    <cellStyle name="Normal 2 2 2 2 3" xfId="1786" xr:uid="{00000000-0005-0000-0000-000048070000}"/>
    <cellStyle name="Normal 2 2 2 2 4" xfId="1787" xr:uid="{00000000-0005-0000-0000-000049070000}"/>
    <cellStyle name="Normal 2 2 2 2 5" xfId="1788" xr:uid="{00000000-0005-0000-0000-00004A070000}"/>
    <cellStyle name="Normal 2 2 2 2 6" xfId="1789" xr:uid="{00000000-0005-0000-0000-00004B070000}"/>
    <cellStyle name="Normal 2 2 2 2 7" xfId="1790" xr:uid="{00000000-0005-0000-0000-00004C070000}"/>
    <cellStyle name="Normal 2 2 2 2 8" xfId="1791" xr:uid="{00000000-0005-0000-0000-00004D070000}"/>
    <cellStyle name="Normal 2 2 2 2 9" xfId="1792" xr:uid="{00000000-0005-0000-0000-00004E070000}"/>
    <cellStyle name="Normal 2 2 2 2_Base Datos" xfId="1793" xr:uid="{00000000-0005-0000-0000-00004F070000}"/>
    <cellStyle name="Normal 2 2 2 3" xfId="1794" xr:uid="{00000000-0005-0000-0000-000050070000}"/>
    <cellStyle name="Normal 2 2 2 3 2" xfId="1795" xr:uid="{00000000-0005-0000-0000-000051070000}"/>
    <cellStyle name="Normal 2 2 2 3 2 2" xfId="1796" xr:uid="{00000000-0005-0000-0000-000052070000}"/>
    <cellStyle name="Normal 2 2 2 3 2 3" xfId="1797" xr:uid="{00000000-0005-0000-0000-000053070000}"/>
    <cellStyle name="Normal 2 2 2 3 3" xfId="1798" xr:uid="{00000000-0005-0000-0000-000054070000}"/>
    <cellStyle name="Normal 2 2 2 4" xfId="1799" xr:uid="{00000000-0005-0000-0000-000055070000}"/>
    <cellStyle name="Normal 2 2 2 5" xfId="1800" xr:uid="{00000000-0005-0000-0000-000056070000}"/>
    <cellStyle name="Normal 2 2 2 6" xfId="1801" xr:uid="{00000000-0005-0000-0000-000057070000}"/>
    <cellStyle name="Normal 2 2 2 7" xfId="1802" xr:uid="{00000000-0005-0000-0000-000058070000}"/>
    <cellStyle name="Normal 2 2 2 8" xfId="1803" xr:uid="{00000000-0005-0000-0000-000059070000}"/>
    <cellStyle name="Normal 2 2 2 9" xfId="1804" xr:uid="{00000000-0005-0000-0000-00005A070000}"/>
    <cellStyle name="Normal 2 2 2_Base Datos" xfId="1805" xr:uid="{00000000-0005-0000-0000-00005B070000}"/>
    <cellStyle name="Normal 2 2 20" xfId="1806" xr:uid="{00000000-0005-0000-0000-00005C070000}"/>
    <cellStyle name="Normal 2 2 20 10" xfId="1807" xr:uid="{00000000-0005-0000-0000-00005D070000}"/>
    <cellStyle name="Normal 2 2 20 11" xfId="1808" xr:uid="{00000000-0005-0000-0000-00005E070000}"/>
    <cellStyle name="Normal 2 2 20 12" xfId="1809" xr:uid="{00000000-0005-0000-0000-00005F070000}"/>
    <cellStyle name="Normal 2 2 20 13" xfId="1810" xr:uid="{00000000-0005-0000-0000-000060070000}"/>
    <cellStyle name="Normal 2 2 20 14" xfId="1811" xr:uid="{00000000-0005-0000-0000-000061070000}"/>
    <cellStyle name="Normal 2 2 20 15" xfId="1812" xr:uid="{00000000-0005-0000-0000-000062070000}"/>
    <cellStyle name="Normal 2 2 20 2" xfId="1813" xr:uid="{00000000-0005-0000-0000-000063070000}"/>
    <cellStyle name="Normal 2 2 20 3" xfId="1814" xr:uid="{00000000-0005-0000-0000-000064070000}"/>
    <cellStyle name="Normal 2 2 20 4" xfId="1815" xr:uid="{00000000-0005-0000-0000-000065070000}"/>
    <cellStyle name="Normal 2 2 20 5" xfId="1816" xr:uid="{00000000-0005-0000-0000-000066070000}"/>
    <cellStyle name="Normal 2 2 20 6" xfId="1817" xr:uid="{00000000-0005-0000-0000-000067070000}"/>
    <cellStyle name="Normal 2 2 20 7" xfId="1818" xr:uid="{00000000-0005-0000-0000-000068070000}"/>
    <cellStyle name="Normal 2 2 20 8" xfId="1819" xr:uid="{00000000-0005-0000-0000-000069070000}"/>
    <cellStyle name="Normal 2 2 20 9" xfId="1820" xr:uid="{00000000-0005-0000-0000-00006A070000}"/>
    <cellStyle name="Normal 2 2 20_Base Datos" xfId="1821" xr:uid="{00000000-0005-0000-0000-00006B070000}"/>
    <cellStyle name="Normal 2 2 21" xfId="1822" xr:uid="{00000000-0005-0000-0000-00006C070000}"/>
    <cellStyle name="Normal 2 2 21 10" xfId="1823" xr:uid="{00000000-0005-0000-0000-00006D070000}"/>
    <cellStyle name="Normal 2 2 21 11" xfId="1824" xr:uid="{00000000-0005-0000-0000-00006E070000}"/>
    <cellStyle name="Normal 2 2 21 12" xfId="1825" xr:uid="{00000000-0005-0000-0000-00006F070000}"/>
    <cellStyle name="Normal 2 2 21 13" xfId="1826" xr:uid="{00000000-0005-0000-0000-000070070000}"/>
    <cellStyle name="Normal 2 2 21 14" xfId="1827" xr:uid="{00000000-0005-0000-0000-000071070000}"/>
    <cellStyle name="Normal 2 2 21 15" xfId="1828" xr:uid="{00000000-0005-0000-0000-000072070000}"/>
    <cellStyle name="Normal 2 2 21 2" xfId="1829" xr:uid="{00000000-0005-0000-0000-000073070000}"/>
    <cellStyle name="Normal 2 2 21 3" xfId="1830" xr:uid="{00000000-0005-0000-0000-000074070000}"/>
    <cellStyle name="Normal 2 2 21 4" xfId="1831" xr:uid="{00000000-0005-0000-0000-000075070000}"/>
    <cellStyle name="Normal 2 2 21 5" xfId="1832" xr:uid="{00000000-0005-0000-0000-000076070000}"/>
    <cellStyle name="Normal 2 2 21 6" xfId="1833" xr:uid="{00000000-0005-0000-0000-000077070000}"/>
    <cellStyle name="Normal 2 2 21 7" xfId="1834" xr:uid="{00000000-0005-0000-0000-000078070000}"/>
    <cellStyle name="Normal 2 2 21 8" xfId="1835" xr:uid="{00000000-0005-0000-0000-000079070000}"/>
    <cellStyle name="Normal 2 2 21 9" xfId="1836" xr:uid="{00000000-0005-0000-0000-00007A070000}"/>
    <cellStyle name="Normal 2 2 21_Base Datos" xfId="1837" xr:uid="{00000000-0005-0000-0000-00007B070000}"/>
    <cellStyle name="Normal 2 2 22" xfId="1838" xr:uid="{00000000-0005-0000-0000-00007C070000}"/>
    <cellStyle name="Normal 2 2 22 10" xfId="1839" xr:uid="{00000000-0005-0000-0000-00007D070000}"/>
    <cellStyle name="Normal 2 2 22 11" xfId="1840" xr:uid="{00000000-0005-0000-0000-00007E070000}"/>
    <cellStyle name="Normal 2 2 22 12" xfId="1841" xr:uid="{00000000-0005-0000-0000-00007F070000}"/>
    <cellStyle name="Normal 2 2 22 13" xfId="1842" xr:uid="{00000000-0005-0000-0000-000080070000}"/>
    <cellStyle name="Normal 2 2 22 14" xfId="1843" xr:uid="{00000000-0005-0000-0000-000081070000}"/>
    <cellStyle name="Normal 2 2 22 15" xfId="1844" xr:uid="{00000000-0005-0000-0000-000082070000}"/>
    <cellStyle name="Normal 2 2 22 2" xfId="1845" xr:uid="{00000000-0005-0000-0000-000083070000}"/>
    <cellStyle name="Normal 2 2 22 3" xfId="1846" xr:uid="{00000000-0005-0000-0000-000084070000}"/>
    <cellStyle name="Normal 2 2 22 4" xfId="1847" xr:uid="{00000000-0005-0000-0000-000085070000}"/>
    <cellStyle name="Normal 2 2 22 5" xfId="1848" xr:uid="{00000000-0005-0000-0000-000086070000}"/>
    <cellStyle name="Normal 2 2 22 6" xfId="1849" xr:uid="{00000000-0005-0000-0000-000087070000}"/>
    <cellStyle name="Normal 2 2 22 7" xfId="1850" xr:uid="{00000000-0005-0000-0000-000088070000}"/>
    <cellStyle name="Normal 2 2 22 8" xfId="1851" xr:uid="{00000000-0005-0000-0000-000089070000}"/>
    <cellStyle name="Normal 2 2 22 9" xfId="1852" xr:uid="{00000000-0005-0000-0000-00008A070000}"/>
    <cellStyle name="Normal 2 2 22_Base Datos" xfId="1853" xr:uid="{00000000-0005-0000-0000-00008B070000}"/>
    <cellStyle name="Normal 2 2 23" xfId="1854" xr:uid="{00000000-0005-0000-0000-00008C070000}"/>
    <cellStyle name="Normal 2 2 23 10" xfId="1855" xr:uid="{00000000-0005-0000-0000-00008D070000}"/>
    <cellStyle name="Normal 2 2 23 11" xfId="1856" xr:uid="{00000000-0005-0000-0000-00008E070000}"/>
    <cellStyle name="Normal 2 2 23 12" xfId="1857" xr:uid="{00000000-0005-0000-0000-00008F070000}"/>
    <cellStyle name="Normal 2 2 23 13" xfId="1858" xr:uid="{00000000-0005-0000-0000-000090070000}"/>
    <cellStyle name="Normal 2 2 23 14" xfId="1859" xr:uid="{00000000-0005-0000-0000-000091070000}"/>
    <cellStyle name="Normal 2 2 23 15" xfId="1860" xr:uid="{00000000-0005-0000-0000-000092070000}"/>
    <cellStyle name="Normal 2 2 23 2" xfId="1861" xr:uid="{00000000-0005-0000-0000-000093070000}"/>
    <cellStyle name="Normal 2 2 23 3" xfId="1862" xr:uid="{00000000-0005-0000-0000-000094070000}"/>
    <cellStyle name="Normal 2 2 23 4" xfId="1863" xr:uid="{00000000-0005-0000-0000-000095070000}"/>
    <cellStyle name="Normal 2 2 23 5" xfId="1864" xr:uid="{00000000-0005-0000-0000-000096070000}"/>
    <cellStyle name="Normal 2 2 23 6" xfId="1865" xr:uid="{00000000-0005-0000-0000-000097070000}"/>
    <cellStyle name="Normal 2 2 23 7" xfId="1866" xr:uid="{00000000-0005-0000-0000-000098070000}"/>
    <cellStyle name="Normal 2 2 23 8" xfId="1867" xr:uid="{00000000-0005-0000-0000-000099070000}"/>
    <cellStyle name="Normal 2 2 23 9" xfId="1868" xr:uid="{00000000-0005-0000-0000-00009A070000}"/>
    <cellStyle name="Normal 2 2 23_Base Datos" xfId="1869" xr:uid="{00000000-0005-0000-0000-00009B070000}"/>
    <cellStyle name="Normal 2 2 24" xfId="1870" xr:uid="{00000000-0005-0000-0000-00009C070000}"/>
    <cellStyle name="Normal 2 2 24 10" xfId="1871" xr:uid="{00000000-0005-0000-0000-00009D070000}"/>
    <cellStyle name="Normal 2 2 24 11" xfId="1872" xr:uid="{00000000-0005-0000-0000-00009E070000}"/>
    <cellStyle name="Normal 2 2 24 12" xfId="1873" xr:uid="{00000000-0005-0000-0000-00009F070000}"/>
    <cellStyle name="Normal 2 2 24 13" xfId="1874" xr:uid="{00000000-0005-0000-0000-0000A0070000}"/>
    <cellStyle name="Normal 2 2 24 14" xfId="1875" xr:uid="{00000000-0005-0000-0000-0000A1070000}"/>
    <cellStyle name="Normal 2 2 24 15" xfId="1876" xr:uid="{00000000-0005-0000-0000-0000A2070000}"/>
    <cellStyle name="Normal 2 2 24 2" xfId="1877" xr:uid="{00000000-0005-0000-0000-0000A3070000}"/>
    <cellStyle name="Normal 2 2 24 3" xfId="1878" xr:uid="{00000000-0005-0000-0000-0000A4070000}"/>
    <cellStyle name="Normal 2 2 24 4" xfId="1879" xr:uid="{00000000-0005-0000-0000-0000A5070000}"/>
    <cellStyle name="Normal 2 2 24 5" xfId="1880" xr:uid="{00000000-0005-0000-0000-0000A6070000}"/>
    <cellStyle name="Normal 2 2 24 6" xfId="1881" xr:uid="{00000000-0005-0000-0000-0000A7070000}"/>
    <cellStyle name="Normal 2 2 24 7" xfId="1882" xr:uid="{00000000-0005-0000-0000-0000A8070000}"/>
    <cellStyle name="Normal 2 2 24 8" xfId="1883" xr:uid="{00000000-0005-0000-0000-0000A9070000}"/>
    <cellStyle name="Normal 2 2 24 9" xfId="1884" xr:uid="{00000000-0005-0000-0000-0000AA070000}"/>
    <cellStyle name="Normal 2 2 24_Base Datos" xfId="1885" xr:uid="{00000000-0005-0000-0000-0000AB070000}"/>
    <cellStyle name="Normal 2 2 25" xfId="1886" xr:uid="{00000000-0005-0000-0000-0000AC070000}"/>
    <cellStyle name="Normal 2 2 25 10" xfId="1887" xr:uid="{00000000-0005-0000-0000-0000AD070000}"/>
    <cellStyle name="Normal 2 2 25 11" xfId="1888" xr:uid="{00000000-0005-0000-0000-0000AE070000}"/>
    <cellStyle name="Normal 2 2 25 12" xfId="1889" xr:uid="{00000000-0005-0000-0000-0000AF070000}"/>
    <cellStyle name="Normal 2 2 25 13" xfId="1890" xr:uid="{00000000-0005-0000-0000-0000B0070000}"/>
    <cellStyle name="Normal 2 2 25 14" xfId="1891" xr:uid="{00000000-0005-0000-0000-0000B1070000}"/>
    <cellStyle name="Normal 2 2 25 15" xfId="1892" xr:uid="{00000000-0005-0000-0000-0000B2070000}"/>
    <cellStyle name="Normal 2 2 25 2" xfId="1893" xr:uid="{00000000-0005-0000-0000-0000B3070000}"/>
    <cellStyle name="Normal 2 2 25 3" xfId="1894" xr:uid="{00000000-0005-0000-0000-0000B4070000}"/>
    <cellStyle name="Normal 2 2 25 4" xfId="1895" xr:uid="{00000000-0005-0000-0000-0000B5070000}"/>
    <cellStyle name="Normal 2 2 25 5" xfId="1896" xr:uid="{00000000-0005-0000-0000-0000B6070000}"/>
    <cellStyle name="Normal 2 2 25 6" xfId="1897" xr:uid="{00000000-0005-0000-0000-0000B7070000}"/>
    <cellStyle name="Normal 2 2 25 7" xfId="1898" xr:uid="{00000000-0005-0000-0000-0000B8070000}"/>
    <cellStyle name="Normal 2 2 25 8" xfId="1899" xr:uid="{00000000-0005-0000-0000-0000B9070000}"/>
    <cellStyle name="Normal 2 2 25 9" xfId="1900" xr:uid="{00000000-0005-0000-0000-0000BA070000}"/>
    <cellStyle name="Normal 2 2 25_Base Datos" xfId="1901" xr:uid="{00000000-0005-0000-0000-0000BB070000}"/>
    <cellStyle name="Normal 2 2 26" xfId="1902" xr:uid="{00000000-0005-0000-0000-0000BC070000}"/>
    <cellStyle name="Normal 2 2 26 10" xfId="1903" xr:uid="{00000000-0005-0000-0000-0000BD070000}"/>
    <cellStyle name="Normal 2 2 26 11" xfId="1904" xr:uid="{00000000-0005-0000-0000-0000BE070000}"/>
    <cellStyle name="Normal 2 2 26 12" xfId="1905" xr:uid="{00000000-0005-0000-0000-0000BF070000}"/>
    <cellStyle name="Normal 2 2 26 13" xfId="1906" xr:uid="{00000000-0005-0000-0000-0000C0070000}"/>
    <cellStyle name="Normal 2 2 26 14" xfId="1907" xr:uid="{00000000-0005-0000-0000-0000C1070000}"/>
    <cellStyle name="Normal 2 2 26 15" xfId="1908" xr:uid="{00000000-0005-0000-0000-0000C2070000}"/>
    <cellStyle name="Normal 2 2 26 2" xfId="1909" xr:uid="{00000000-0005-0000-0000-0000C3070000}"/>
    <cellStyle name="Normal 2 2 26 3" xfId="1910" xr:uid="{00000000-0005-0000-0000-0000C4070000}"/>
    <cellStyle name="Normal 2 2 26 4" xfId="1911" xr:uid="{00000000-0005-0000-0000-0000C5070000}"/>
    <cellStyle name="Normal 2 2 26 5" xfId="1912" xr:uid="{00000000-0005-0000-0000-0000C6070000}"/>
    <cellStyle name="Normal 2 2 26 6" xfId="1913" xr:uid="{00000000-0005-0000-0000-0000C7070000}"/>
    <cellStyle name="Normal 2 2 26 7" xfId="1914" xr:uid="{00000000-0005-0000-0000-0000C8070000}"/>
    <cellStyle name="Normal 2 2 26 8" xfId="1915" xr:uid="{00000000-0005-0000-0000-0000C9070000}"/>
    <cellStyle name="Normal 2 2 26 9" xfId="1916" xr:uid="{00000000-0005-0000-0000-0000CA070000}"/>
    <cellStyle name="Normal 2 2 26_Base Datos" xfId="1917" xr:uid="{00000000-0005-0000-0000-0000CB070000}"/>
    <cellStyle name="Normal 2 2 27" xfId="1918" xr:uid="{00000000-0005-0000-0000-0000CC070000}"/>
    <cellStyle name="Normal 2 2 27 10" xfId="1919" xr:uid="{00000000-0005-0000-0000-0000CD070000}"/>
    <cellStyle name="Normal 2 2 27 11" xfId="1920" xr:uid="{00000000-0005-0000-0000-0000CE070000}"/>
    <cellStyle name="Normal 2 2 27 12" xfId="1921" xr:uid="{00000000-0005-0000-0000-0000CF070000}"/>
    <cellStyle name="Normal 2 2 27 13" xfId="1922" xr:uid="{00000000-0005-0000-0000-0000D0070000}"/>
    <cellStyle name="Normal 2 2 27 14" xfId="1923" xr:uid="{00000000-0005-0000-0000-0000D1070000}"/>
    <cellStyle name="Normal 2 2 27 15" xfId="1924" xr:uid="{00000000-0005-0000-0000-0000D2070000}"/>
    <cellStyle name="Normal 2 2 27 2" xfId="1925" xr:uid="{00000000-0005-0000-0000-0000D3070000}"/>
    <cellStyle name="Normal 2 2 27 3" xfId="1926" xr:uid="{00000000-0005-0000-0000-0000D4070000}"/>
    <cellStyle name="Normal 2 2 27 4" xfId="1927" xr:uid="{00000000-0005-0000-0000-0000D5070000}"/>
    <cellStyle name="Normal 2 2 27 5" xfId="1928" xr:uid="{00000000-0005-0000-0000-0000D6070000}"/>
    <cellStyle name="Normal 2 2 27 6" xfId="1929" xr:uid="{00000000-0005-0000-0000-0000D7070000}"/>
    <cellStyle name="Normal 2 2 27 7" xfId="1930" xr:uid="{00000000-0005-0000-0000-0000D8070000}"/>
    <cellStyle name="Normal 2 2 27 8" xfId="1931" xr:uid="{00000000-0005-0000-0000-0000D9070000}"/>
    <cellStyle name="Normal 2 2 27 9" xfId="1932" xr:uid="{00000000-0005-0000-0000-0000DA070000}"/>
    <cellStyle name="Normal 2 2 27_Base Datos" xfId="1933" xr:uid="{00000000-0005-0000-0000-0000DB070000}"/>
    <cellStyle name="Normal 2 2 28" xfId="1934" xr:uid="{00000000-0005-0000-0000-0000DC070000}"/>
    <cellStyle name="Normal 2 2 29" xfId="1935" xr:uid="{00000000-0005-0000-0000-0000DD070000}"/>
    <cellStyle name="Normal 2 2 3" xfId="1936" xr:uid="{00000000-0005-0000-0000-0000DE070000}"/>
    <cellStyle name="Normal 2 2 3 10" xfId="1937" xr:uid="{00000000-0005-0000-0000-0000DF070000}"/>
    <cellStyle name="Normal 2 2 3 11" xfId="1938" xr:uid="{00000000-0005-0000-0000-0000E0070000}"/>
    <cellStyle name="Normal 2 2 3 12" xfId="1939" xr:uid="{00000000-0005-0000-0000-0000E1070000}"/>
    <cellStyle name="Normal 2 2 3 13" xfId="1940" xr:uid="{00000000-0005-0000-0000-0000E2070000}"/>
    <cellStyle name="Normal 2 2 3 14" xfId="1941" xr:uid="{00000000-0005-0000-0000-0000E3070000}"/>
    <cellStyle name="Normal 2 2 3 15" xfId="1942" xr:uid="{00000000-0005-0000-0000-0000E4070000}"/>
    <cellStyle name="Normal 2 2 3 2" xfId="1943" xr:uid="{00000000-0005-0000-0000-0000E5070000}"/>
    <cellStyle name="Normal 2 2 3 3" xfId="1944" xr:uid="{00000000-0005-0000-0000-0000E6070000}"/>
    <cellStyle name="Normal 2 2 3 4" xfId="1945" xr:uid="{00000000-0005-0000-0000-0000E7070000}"/>
    <cellStyle name="Normal 2 2 3 5" xfId="1946" xr:uid="{00000000-0005-0000-0000-0000E8070000}"/>
    <cellStyle name="Normal 2 2 3 6" xfId="1947" xr:uid="{00000000-0005-0000-0000-0000E9070000}"/>
    <cellStyle name="Normal 2 2 3 7" xfId="1948" xr:uid="{00000000-0005-0000-0000-0000EA070000}"/>
    <cellStyle name="Normal 2 2 3 8" xfId="1949" xr:uid="{00000000-0005-0000-0000-0000EB070000}"/>
    <cellStyle name="Normal 2 2 3 9" xfId="1950" xr:uid="{00000000-0005-0000-0000-0000EC070000}"/>
    <cellStyle name="Normal 2 2 3_Base Datos" xfId="1951" xr:uid="{00000000-0005-0000-0000-0000ED070000}"/>
    <cellStyle name="Normal 2 2 30" xfId="1952" xr:uid="{00000000-0005-0000-0000-0000EE070000}"/>
    <cellStyle name="Normal 2 2 31" xfId="1953" xr:uid="{00000000-0005-0000-0000-0000EF070000}"/>
    <cellStyle name="Normal 2 2 32" xfId="1954" xr:uid="{00000000-0005-0000-0000-0000F0070000}"/>
    <cellStyle name="Normal 2 2 33" xfId="1955" xr:uid="{00000000-0005-0000-0000-0000F1070000}"/>
    <cellStyle name="Normal 2 2 34" xfId="1956" xr:uid="{00000000-0005-0000-0000-0000F2070000}"/>
    <cellStyle name="Normal 2 2 35" xfId="1957" xr:uid="{00000000-0005-0000-0000-0000F3070000}"/>
    <cellStyle name="Normal 2 2 36" xfId="1958" xr:uid="{00000000-0005-0000-0000-0000F4070000}"/>
    <cellStyle name="Normal 2 2 37" xfId="1959" xr:uid="{00000000-0005-0000-0000-0000F5070000}"/>
    <cellStyle name="Normal 2 2 38" xfId="1960" xr:uid="{00000000-0005-0000-0000-0000F6070000}"/>
    <cellStyle name="Normal 2 2 39" xfId="1961" xr:uid="{00000000-0005-0000-0000-0000F7070000}"/>
    <cellStyle name="Normal 2 2 4" xfId="1962" xr:uid="{00000000-0005-0000-0000-0000F8070000}"/>
    <cellStyle name="Normal 2 2 4 10" xfId="1963" xr:uid="{00000000-0005-0000-0000-0000F9070000}"/>
    <cellStyle name="Normal 2 2 4 11" xfId="1964" xr:uid="{00000000-0005-0000-0000-0000FA070000}"/>
    <cellStyle name="Normal 2 2 4 12" xfId="1965" xr:uid="{00000000-0005-0000-0000-0000FB070000}"/>
    <cellStyle name="Normal 2 2 4 13" xfId="1966" xr:uid="{00000000-0005-0000-0000-0000FC070000}"/>
    <cellStyle name="Normal 2 2 4 14" xfId="1967" xr:uid="{00000000-0005-0000-0000-0000FD070000}"/>
    <cellStyle name="Normal 2 2 4 15" xfId="1968" xr:uid="{00000000-0005-0000-0000-0000FE070000}"/>
    <cellStyle name="Normal 2 2 4 2" xfId="1969" xr:uid="{00000000-0005-0000-0000-0000FF070000}"/>
    <cellStyle name="Normal 2 2 4 3" xfId="1970" xr:uid="{00000000-0005-0000-0000-000000080000}"/>
    <cellStyle name="Normal 2 2 4 4" xfId="1971" xr:uid="{00000000-0005-0000-0000-000001080000}"/>
    <cellStyle name="Normal 2 2 4 5" xfId="1972" xr:uid="{00000000-0005-0000-0000-000002080000}"/>
    <cellStyle name="Normal 2 2 4 6" xfId="1973" xr:uid="{00000000-0005-0000-0000-000003080000}"/>
    <cellStyle name="Normal 2 2 4 7" xfId="1974" xr:uid="{00000000-0005-0000-0000-000004080000}"/>
    <cellStyle name="Normal 2 2 4 8" xfId="1975" xr:uid="{00000000-0005-0000-0000-000005080000}"/>
    <cellStyle name="Normal 2 2 4 9" xfId="1976" xr:uid="{00000000-0005-0000-0000-000006080000}"/>
    <cellStyle name="Normal 2 2 4_Base Datos" xfId="1977" xr:uid="{00000000-0005-0000-0000-000007080000}"/>
    <cellStyle name="Normal 2 2 40" xfId="1978" xr:uid="{00000000-0005-0000-0000-000008080000}"/>
    <cellStyle name="Normal 2 2 41" xfId="1979" xr:uid="{00000000-0005-0000-0000-000009080000}"/>
    <cellStyle name="Normal 2 2 42" xfId="1980" xr:uid="{00000000-0005-0000-0000-00000A080000}"/>
    <cellStyle name="Normal 2 2 43" xfId="1981" xr:uid="{00000000-0005-0000-0000-00000B080000}"/>
    <cellStyle name="Normal 2 2 44" xfId="1982" xr:uid="{00000000-0005-0000-0000-00000C080000}"/>
    <cellStyle name="Normal 2 2 45" xfId="1983" xr:uid="{00000000-0005-0000-0000-00000D080000}"/>
    <cellStyle name="Normal 2 2 46" xfId="1984" xr:uid="{00000000-0005-0000-0000-00000E080000}"/>
    <cellStyle name="Normal 2 2 47" xfId="1985" xr:uid="{00000000-0005-0000-0000-00000F080000}"/>
    <cellStyle name="Normal 2 2 48" xfId="1986" xr:uid="{00000000-0005-0000-0000-000010080000}"/>
    <cellStyle name="Normal 2 2 48 2" xfId="1987" xr:uid="{00000000-0005-0000-0000-000011080000}"/>
    <cellStyle name="Normal 2 2 48 2 2" xfId="1988" xr:uid="{00000000-0005-0000-0000-000012080000}"/>
    <cellStyle name="Normal 2 2 48 2 3" xfId="1989" xr:uid="{00000000-0005-0000-0000-000013080000}"/>
    <cellStyle name="Normal 2 2 48 3" xfId="1990" xr:uid="{00000000-0005-0000-0000-000014080000}"/>
    <cellStyle name="Normal 2 2 49" xfId="1991" xr:uid="{00000000-0005-0000-0000-000015080000}"/>
    <cellStyle name="Normal 2 2 5" xfId="1992" xr:uid="{00000000-0005-0000-0000-000016080000}"/>
    <cellStyle name="Normal 2 2 5 10" xfId="1993" xr:uid="{00000000-0005-0000-0000-000017080000}"/>
    <cellStyle name="Normal 2 2 5 11" xfId="1994" xr:uid="{00000000-0005-0000-0000-000018080000}"/>
    <cellStyle name="Normal 2 2 5 12" xfId="1995" xr:uid="{00000000-0005-0000-0000-000019080000}"/>
    <cellStyle name="Normal 2 2 5 13" xfId="1996" xr:uid="{00000000-0005-0000-0000-00001A080000}"/>
    <cellStyle name="Normal 2 2 5 14" xfId="1997" xr:uid="{00000000-0005-0000-0000-00001B080000}"/>
    <cellStyle name="Normal 2 2 5 15" xfId="1998" xr:uid="{00000000-0005-0000-0000-00001C080000}"/>
    <cellStyle name="Normal 2 2 5 2" xfId="1999" xr:uid="{00000000-0005-0000-0000-00001D080000}"/>
    <cellStyle name="Normal 2 2 5 3" xfId="2000" xr:uid="{00000000-0005-0000-0000-00001E080000}"/>
    <cellStyle name="Normal 2 2 5 4" xfId="2001" xr:uid="{00000000-0005-0000-0000-00001F080000}"/>
    <cellStyle name="Normal 2 2 5 5" xfId="2002" xr:uid="{00000000-0005-0000-0000-000020080000}"/>
    <cellStyle name="Normal 2 2 5 6" xfId="2003" xr:uid="{00000000-0005-0000-0000-000021080000}"/>
    <cellStyle name="Normal 2 2 5 7" xfId="2004" xr:uid="{00000000-0005-0000-0000-000022080000}"/>
    <cellStyle name="Normal 2 2 5 8" xfId="2005" xr:uid="{00000000-0005-0000-0000-000023080000}"/>
    <cellStyle name="Normal 2 2 5 9" xfId="2006" xr:uid="{00000000-0005-0000-0000-000024080000}"/>
    <cellStyle name="Normal 2 2 5_Base Datos" xfId="2007" xr:uid="{00000000-0005-0000-0000-000025080000}"/>
    <cellStyle name="Normal 2 2 50" xfId="2008" xr:uid="{00000000-0005-0000-0000-000026080000}"/>
    <cellStyle name="Normal 2 2 51" xfId="2009" xr:uid="{00000000-0005-0000-0000-000027080000}"/>
    <cellStyle name="Normal 2 2 52" xfId="2010" xr:uid="{00000000-0005-0000-0000-000028080000}"/>
    <cellStyle name="Normal 2 2 53" xfId="2011" xr:uid="{00000000-0005-0000-0000-000029080000}"/>
    <cellStyle name="Normal 2 2 54" xfId="2012" xr:uid="{00000000-0005-0000-0000-00002A080000}"/>
    <cellStyle name="Normal 2 2 55" xfId="2013" xr:uid="{00000000-0005-0000-0000-00002B080000}"/>
    <cellStyle name="Normal 2 2 56" xfId="2014" xr:uid="{00000000-0005-0000-0000-00002C080000}"/>
    <cellStyle name="Normal 2 2 57" xfId="2015" xr:uid="{00000000-0005-0000-0000-00002D080000}"/>
    <cellStyle name="Normal 2 2 58" xfId="2016" xr:uid="{00000000-0005-0000-0000-00002E080000}"/>
    <cellStyle name="Normal 2 2 59" xfId="2017" xr:uid="{00000000-0005-0000-0000-00002F080000}"/>
    <cellStyle name="Normal 2 2 6" xfId="2018" xr:uid="{00000000-0005-0000-0000-000030080000}"/>
    <cellStyle name="Normal 2 2 6 10" xfId="2019" xr:uid="{00000000-0005-0000-0000-000031080000}"/>
    <cellStyle name="Normal 2 2 6 11" xfId="2020" xr:uid="{00000000-0005-0000-0000-000032080000}"/>
    <cellStyle name="Normal 2 2 6 12" xfId="2021" xr:uid="{00000000-0005-0000-0000-000033080000}"/>
    <cellStyle name="Normal 2 2 6 13" xfId="2022" xr:uid="{00000000-0005-0000-0000-000034080000}"/>
    <cellStyle name="Normal 2 2 6 14" xfId="2023" xr:uid="{00000000-0005-0000-0000-000035080000}"/>
    <cellStyle name="Normal 2 2 6 15" xfId="2024" xr:uid="{00000000-0005-0000-0000-000036080000}"/>
    <cellStyle name="Normal 2 2 6 2" xfId="2025" xr:uid="{00000000-0005-0000-0000-000037080000}"/>
    <cellStyle name="Normal 2 2 6 3" xfId="2026" xr:uid="{00000000-0005-0000-0000-000038080000}"/>
    <cellStyle name="Normal 2 2 6 4" xfId="2027" xr:uid="{00000000-0005-0000-0000-000039080000}"/>
    <cellStyle name="Normal 2 2 6 5" xfId="2028" xr:uid="{00000000-0005-0000-0000-00003A080000}"/>
    <cellStyle name="Normal 2 2 6 6" xfId="2029" xr:uid="{00000000-0005-0000-0000-00003B080000}"/>
    <cellStyle name="Normal 2 2 6 7" xfId="2030" xr:uid="{00000000-0005-0000-0000-00003C080000}"/>
    <cellStyle name="Normal 2 2 6 8" xfId="2031" xr:uid="{00000000-0005-0000-0000-00003D080000}"/>
    <cellStyle name="Normal 2 2 6 9" xfId="2032" xr:uid="{00000000-0005-0000-0000-00003E080000}"/>
    <cellStyle name="Normal 2 2 6_Base Datos" xfId="2033" xr:uid="{00000000-0005-0000-0000-00003F080000}"/>
    <cellStyle name="Normal 2 2 60" xfId="2034" xr:uid="{00000000-0005-0000-0000-000040080000}"/>
    <cellStyle name="Normal 2 2 61" xfId="2035" xr:uid="{00000000-0005-0000-0000-000041080000}"/>
    <cellStyle name="Normal 2 2 7" xfId="2036" xr:uid="{00000000-0005-0000-0000-000042080000}"/>
    <cellStyle name="Normal 2 2 7 10" xfId="2037" xr:uid="{00000000-0005-0000-0000-000043080000}"/>
    <cellStyle name="Normal 2 2 7 11" xfId="2038" xr:uid="{00000000-0005-0000-0000-000044080000}"/>
    <cellStyle name="Normal 2 2 7 12" xfId="2039" xr:uid="{00000000-0005-0000-0000-000045080000}"/>
    <cellStyle name="Normal 2 2 7 13" xfId="2040" xr:uid="{00000000-0005-0000-0000-000046080000}"/>
    <cellStyle name="Normal 2 2 7 14" xfId="2041" xr:uid="{00000000-0005-0000-0000-000047080000}"/>
    <cellStyle name="Normal 2 2 7 15" xfId="2042" xr:uid="{00000000-0005-0000-0000-000048080000}"/>
    <cellStyle name="Normal 2 2 7 2" xfId="2043" xr:uid="{00000000-0005-0000-0000-000049080000}"/>
    <cellStyle name="Normal 2 2 7 3" xfId="2044" xr:uid="{00000000-0005-0000-0000-00004A080000}"/>
    <cellStyle name="Normal 2 2 7 4" xfId="2045" xr:uid="{00000000-0005-0000-0000-00004B080000}"/>
    <cellStyle name="Normal 2 2 7 5" xfId="2046" xr:uid="{00000000-0005-0000-0000-00004C080000}"/>
    <cellStyle name="Normal 2 2 7 6" xfId="2047" xr:uid="{00000000-0005-0000-0000-00004D080000}"/>
    <cellStyle name="Normal 2 2 7 7" xfId="2048" xr:uid="{00000000-0005-0000-0000-00004E080000}"/>
    <cellStyle name="Normal 2 2 7 8" xfId="2049" xr:uid="{00000000-0005-0000-0000-00004F080000}"/>
    <cellStyle name="Normal 2 2 7 9" xfId="2050" xr:uid="{00000000-0005-0000-0000-000050080000}"/>
    <cellStyle name="Normal 2 2 7_Base Datos" xfId="2051" xr:uid="{00000000-0005-0000-0000-000051080000}"/>
    <cellStyle name="Normal 2 2 8" xfId="2052" xr:uid="{00000000-0005-0000-0000-000052080000}"/>
    <cellStyle name="Normal 2 2 8 10" xfId="2053" xr:uid="{00000000-0005-0000-0000-000053080000}"/>
    <cellStyle name="Normal 2 2 8 11" xfId="2054" xr:uid="{00000000-0005-0000-0000-000054080000}"/>
    <cellStyle name="Normal 2 2 8 12" xfId="2055" xr:uid="{00000000-0005-0000-0000-000055080000}"/>
    <cellStyle name="Normal 2 2 8 13" xfId="2056" xr:uid="{00000000-0005-0000-0000-000056080000}"/>
    <cellStyle name="Normal 2 2 8 14" xfId="2057" xr:uid="{00000000-0005-0000-0000-000057080000}"/>
    <cellStyle name="Normal 2 2 8 15" xfId="2058" xr:uid="{00000000-0005-0000-0000-000058080000}"/>
    <cellStyle name="Normal 2 2 8 2" xfId="2059" xr:uid="{00000000-0005-0000-0000-000059080000}"/>
    <cellStyle name="Normal 2 2 8 3" xfId="2060" xr:uid="{00000000-0005-0000-0000-00005A080000}"/>
    <cellStyle name="Normal 2 2 8 4" xfId="2061" xr:uid="{00000000-0005-0000-0000-00005B080000}"/>
    <cellStyle name="Normal 2 2 8 5" xfId="2062" xr:uid="{00000000-0005-0000-0000-00005C080000}"/>
    <cellStyle name="Normal 2 2 8 6" xfId="2063" xr:uid="{00000000-0005-0000-0000-00005D080000}"/>
    <cellStyle name="Normal 2 2 8 7" xfId="2064" xr:uid="{00000000-0005-0000-0000-00005E080000}"/>
    <cellStyle name="Normal 2 2 8 8" xfId="2065" xr:uid="{00000000-0005-0000-0000-00005F080000}"/>
    <cellStyle name="Normal 2 2 8 9" xfId="2066" xr:uid="{00000000-0005-0000-0000-000060080000}"/>
    <cellStyle name="Normal 2 2 8_Base Datos" xfId="2067" xr:uid="{00000000-0005-0000-0000-000061080000}"/>
    <cellStyle name="Normal 2 2 9" xfId="2068" xr:uid="{00000000-0005-0000-0000-000062080000}"/>
    <cellStyle name="Normal 2 2 9 10" xfId="2069" xr:uid="{00000000-0005-0000-0000-000063080000}"/>
    <cellStyle name="Normal 2 2 9 11" xfId="2070" xr:uid="{00000000-0005-0000-0000-000064080000}"/>
    <cellStyle name="Normal 2 2 9 12" xfId="2071" xr:uid="{00000000-0005-0000-0000-000065080000}"/>
    <cellStyle name="Normal 2 2 9 13" xfId="2072" xr:uid="{00000000-0005-0000-0000-000066080000}"/>
    <cellStyle name="Normal 2 2 9 14" xfId="2073" xr:uid="{00000000-0005-0000-0000-000067080000}"/>
    <cellStyle name="Normal 2 2 9 15" xfId="2074" xr:uid="{00000000-0005-0000-0000-000068080000}"/>
    <cellStyle name="Normal 2 2 9 2" xfId="2075" xr:uid="{00000000-0005-0000-0000-000069080000}"/>
    <cellStyle name="Normal 2 2 9 3" xfId="2076" xr:uid="{00000000-0005-0000-0000-00006A080000}"/>
    <cellStyle name="Normal 2 2 9 4" xfId="2077" xr:uid="{00000000-0005-0000-0000-00006B080000}"/>
    <cellStyle name="Normal 2 2 9 5" xfId="2078" xr:uid="{00000000-0005-0000-0000-00006C080000}"/>
    <cellStyle name="Normal 2 2 9 6" xfId="2079" xr:uid="{00000000-0005-0000-0000-00006D080000}"/>
    <cellStyle name="Normal 2 2 9 7" xfId="2080" xr:uid="{00000000-0005-0000-0000-00006E080000}"/>
    <cellStyle name="Normal 2 2 9 8" xfId="2081" xr:uid="{00000000-0005-0000-0000-00006F080000}"/>
    <cellStyle name="Normal 2 2 9 9" xfId="2082" xr:uid="{00000000-0005-0000-0000-000070080000}"/>
    <cellStyle name="Normal 2 2 9_Base Datos" xfId="2083" xr:uid="{00000000-0005-0000-0000-000071080000}"/>
    <cellStyle name="Normal 2 2_Base Datos" xfId="2084" xr:uid="{00000000-0005-0000-0000-000072080000}"/>
    <cellStyle name="Normal 2 20" xfId="2085" xr:uid="{00000000-0005-0000-0000-000073080000}"/>
    <cellStyle name="Normal 2 21" xfId="2086" xr:uid="{00000000-0005-0000-0000-000074080000}"/>
    <cellStyle name="Normal 2 22" xfId="2087" xr:uid="{00000000-0005-0000-0000-000075080000}"/>
    <cellStyle name="Normal 2 23" xfId="2088" xr:uid="{00000000-0005-0000-0000-000076080000}"/>
    <cellStyle name="Normal 2 24" xfId="2089" xr:uid="{00000000-0005-0000-0000-000077080000}"/>
    <cellStyle name="Normal 2 25" xfId="2090" xr:uid="{00000000-0005-0000-0000-000078080000}"/>
    <cellStyle name="Normal 2 26" xfId="2091" xr:uid="{00000000-0005-0000-0000-000079080000}"/>
    <cellStyle name="Normal 2 27" xfId="2092" xr:uid="{00000000-0005-0000-0000-00007A080000}"/>
    <cellStyle name="Normal 2 28" xfId="2093" xr:uid="{00000000-0005-0000-0000-00007B080000}"/>
    <cellStyle name="Normal 2 29" xfId="2094" xr:uid="{00000000-0005-0000-0000-00007C080000}"/>
    <cellStyle name="Normal 2 3" xfId="2095" xr:uid="{00000000-0005-0000-0000-00007D080000}"/>
    <cellStyle name="Normal 2 3 2" xfId="2096" xr:uid="{00000000-0005-0000-0000-00007E080000}"/>
    <cellStyle name="Normal 2 3 3" xfId="2097" xr:uid="{00000000-0005-0000-0000-00007F080000}"/>
    <cellStyle name="Normal 2 30" xfId="2098" xr:uid="{00000000-0005-0000-0000-000080080000}"/>
    <cellStyle name="Normal 2 31" xfId="2099" xr:uid="{00000000-0005-0000-0000-000081080000}"/>
    <cellStyle name="Normal 2 32" xfId="2100" xr:uid="{00000000-0005-0000-0000-000082080000}"/>
    <cellStyle name="Normal 2 33" xfId="2101" xr:uid="{00000000-0005-0000-0000-000083080000}"/>
    <cellStyle name="Normal 2 34" xfId="2102" xr:uid="{00000000-0005-0000-0000-000084080000}"/>
    <cellStyle name="Normal 2 35" xfId="2103" xr:uid="{00000000-0005-0000-0000-000085080000}"/>
    <cellStyle name="Normal 2 36" xfId="2104" xr:uid="{00000000-0005-0000-0000-000086080000}"/>
    <cellStyle name="Normal 2 37" xfId="2105" xr:uid="{00000000-0005-0000-0000-000087080000}"/>
    <cellStyle name="Normal 2 38" xfId="2106" xr:uid="{00000000-0005-0000-0000-000088080000}"/>
    <cellStyle name="Normal 2 39" xfId="2107" xr:uid="{00000000-0005-0000-0000-000089080000}"/>
    <cellStyle name="Normal 2 4" xfId="2108" xr:uid="{00000000-0005-0000-0000-00008A080000}"/>
    <cellStyle name="Normal 2 4 2" xfId="2109" xr:uid="{00000000-0005-0000-0000-00008B080000}"/>
    <cellStyle name="Normal 2 4 3" xfId="2110" xr:uid="{00000000-0005-0000-0000-00008C080000}"/>
    <cellStyle name="Normal 2 40" xfId="2111" xr:uid="{00000000-0005-0000-0000-00008D080000}"/>
    <cellStyle name="Normal 2 41" xfId="2112" xr:uid="{00000000-0005-0000-0000-00008E080000}"/>
    <cellStyle name="Normal 2 42" xfId="2113" xr:uid="{00000000-0005-0000-0000-00008F080000}"/>
    <cellStyle name="Normal 2 43" xfId="2114" xr:uid="{00000000-0005-0000-0000-000090080000}"/>
    <cellStyle name="Normal 2 44" xfId="2115" xr:uid="{00000000-0005-0000-0000-000091080000}"/>
    <cellStyle name="Normal 2 45" xfId="2116" xr:uid="{00000000-0005-0000-0000-000092080000}"/>
    <cellStyle name="Normal 2 46" xfId="2117" xr:uid="{00000000-0005-0000-0000-000093080000}"/>
    <cellStyle name="Normal 2 47" xfId="2118" xr:uid="{00000000-0005-0000-0000-000094080000}"/>
    <cellStyle name="Normal 2 48" xfId="2119" xr:uid="{00000000-0005-0000-0000-000095080000}"/>
    <cellStyle name="Normal 2 49" xfId="2120" xr:uid="{00000000-0005-0000-0000-000096080000}"/>
    <cellStyle name="Normal 2 5" xfId="2121" xr:uid="{00000000-0005-0000-0000-000097080000}"/>
    <cellStyle name="Normal 2 5 2" xfId="2122" xr:uid="{00000000-0005-0000-0000-000098080000}"/>
    <cellStyle name="Normal 2 5 3" xfId="2123" xr:uid="{00000000-0005-0000-0000-000099080000}"/>
    <cellStyle name="Normal 2 50" xfId="2124" xr:uid="{00000000-0005-0000-0000-00009A080000}"/>
    <cellStyle name="Normal 2 51" xfId="2125" xr:uid="{00000000-0005-0000-0000-00009B080000}"/>
    <cellStyle name="Normal 2 52" xfId="2126" xr:uid="{00000000-0005-0000-0000-00009C080000}"/>
    <cellStyle name="Normal 2 53" xfId="2127" xr:uid="{00000000-0005-0000-0000-00009D080000}"/>
    <cellStyle name="Normal 2 54" xfId="2128" xr:uid="{00000000-0005-0000-0000-00009E080000}"/>
    <cellStyle name="Normal 2 6" xfId="2129" xr:uid="{00000000-0005-0000-0000-00009F080000}"/>
    <cellStyle name="Normal 2 6 2" xfId="2130" xr:uid="{00000000-0005-0000-0000-0000A0080000}"/>
    <cellStyle name="Normal 2 6 3" xfId="2131" xr:uid="{00000000-0005-0000-0000-0000A1080000}"/>
    <cellStyle name="Normal 2 7" xfId="2132" xr:uid="{00000000-0005-0000-0000-0000A2080000}"/>
    <cellStyle name="Normal 2 7 2" xfId="2133" xr:uid="{00000000-0005-0000-0000-0000A3080000}"/>
    <cellStyle name="Normal 2 7 3" xfId="2134" xr:uid="{00000000-0005-0000-0000-0000A4080000}"/>
    <cellStyle name="Normal 2 8" xfId="2135" xr:uid="{00000000-0005-0000-0000-0000A5080000}"/>
    <cellStyle name="Normal 2 8 2" xfId="2136" xr:uid="{00000000-0005-0000-0000-0000A6080000}"/>
    <cellStyle name="Normal 2 8 3" xfId="2137" xr:uid="{00000000-0005-0000-0000-0000A7080000}"/>
    <cellStyle name="Normal 2 9" xfId="2138" xr:uid="{00000000-0005-0000-0000-0000A8080000}"/>
    <cellStyle name="Normal 2_Base Datos" xfId="2139" xr:uid="{00000000-0005-0000-0000-0000A9080000}"/>
    <cellStyle name="Normal 20" xfId="2140" xr:uid="{00000000-0005-0000-0000-0000AA080000}"/>
    <cellStyle name="Normal 21" xfId="2141" xr:uid="{00000000-0005-0000-0000-0000AB080000}"/>
    <cellStyle name="Normal 22" xfId="2142" xr:uid="{00000000-0005-0000-0000-0000AC080000}"/>
    <cellStyle name="Normal 23" xfId="2143" xr:uid="{00000000-0005-0000-0000-0000AD080000}"/>
    <cellStyle name="Normal 24" xfId="2144" xr:uid="{00000000-0005-0000-0000-0000AE080000}"/>
    <cellStyle name="Normal 25" xfId="2145" xr:uid="{00000000-0005-0000-0000-0000AF080000}"/>
    <cellStyle name="Normal 26" xfId="2146" xr:uid="{00000000-0005-0000-0000-0000B0080000}"/>
    <cellStyle name="Normal 27" xfId="2147" xr:uid="{00000000-0005-0000-0000-0000B1080000}"/>
    <cellStyle name="Normal 28" xfId="2148" xr:uid="{00000000-0005-0000-0000-0000B2080000}"/>
    <cellStyle name="Normal 29" xfId="2149" xr:uid="{00000000-0005-0000-0000-0000B3080000}"/>
    <cellStyle name="Normal 3" xfId="2150" xr:uid="{00000000-0005-0000-0000-0000B4080000}"/>
    <cellStyle name="Normal 3 10" xfId="2151" xr:uid="{00000000-0005-0000-0000-0000B5080000}"/>
    <cellStyle name="Normal 3 10 2" xfId="2152" xr:uid="{00000000-0005-0000-0000-0000B6080000}"/>
    <cellStyle name="Normal 3 11" xfId="2153" xr:uid="{00000000-0005-0000-0000-0000B7080000}"/>
    <cellStyle name="Normal 3 11 2" xfId="2154" xr:uid="{00000000-0005-0000-0000-0000B8080000}"/>
    <cellStyle name="Normal 3 12" xfId="2155" xr:uid="{00000000-0005-0000-0000-0000B9080000}"/>
    <cellStyle name="Normal 3 13" xfId="2156" xr:uid="{00000000-0005-0000-0000-0000BA080000}"/>
    <cellStyle name="Normal 3 14" xfId="2157" xr:uid="{00000000-0005-0000-0000-0000BB080000}"/>
    <cellStyle name="Normal 3 2" xfId="2158" xr:uid="{00000000-0005-0000-0000-0000BC080000}"/>
    <cellStyle name="Normal 3 2 2" xfId="2159" xr:uid="{00000000-0005-0000-0000-0000BD080000}"/>
    <cellStyle name="Normal 3 2 2 2" xfId="2160" xr:uid="{00000000-0005-0000-0000-0000BE080000}"/>
    <cellStyle name="Normal 3 2 2 2 2" xfId="2161" xr:uid="{00000000-0005-0000-0000-0000BF080000}"/>
    <cellStyle name="Normal 3 2 2 2 2 2" xfId="2162" xr:uid="{00000000-0005-0000-0000-0000C0080000}"/>
    <cellStyle name="Normal 3 2 2 2 3" xfId="2163" xr:uid="{00000000-0005-0000-0000-0000C1080000}"/>
    <cellStyle name="Normal 3 2 2 3" xfId="2164" xr:uid="{00000000-0005-0000-0000-0000C2080000}"/>
    <cellStyle name="Normal 3 2 2 3 2" xfId="2165" xr:uid="{00000000-0005-0000-0000-0000C3080000}"/>
    <cellStyle name="Normal 3 2 2 4" xfId="2166" xr:uid="{00000000-0005-0000-0000-0000C4080000}"/>
    <cellStyle name="Normal 3 2 2 4 2" xfId="2167" xr:uid="{00000000-0005-0000-0000-0000C5080000}"/>
    <cellStyle name="Normal 3 2 2 5" xfId="2168" xr:uid="{00000000-0005-0000-0000-0000C6080000}"/>
    <cellStyle name="Normal 3 2 3" xfId="2169" xr:uid="{00000000-0005-0000-0000-0000C7080000}"/>
    <cellStyle name="Normal 3 2 4" xfId="2170" xr:uid="{00000000-0005-0000-0000-0000C8080000}"/>
    <cellStyle name="Normal 3 2 5" xfId="2171" xr:uid="{00000000-0005-0000-0000-0000C9080000}"/>
    <cellStyle name="Normal 3 3" xfId="2172" xr:uid="{00000000-0005-0000-0000-0000CA080000}"/>
    <cellStyle name="Normal 3 4" xfId="2173" xr:uid="{00000000-0005-0000-0000-0000CB080000}"/>
    <cellStyle name="Normal 3 4 2" xfId="2174" xr:uid="{00000000-0005-0000-0000-0000CC080000}"/>
    <cellStyle name="Normal 3 5" xfId="2175" xr:uid="{00000000-0005-0000-0000-0000CD080000}"/>
    <cellStyle name="Normal 3 5 2" xfId="2176" xr:uid="{00000000-0005-0000-0000-0000CE080000}"/>
    <cellStyle name="Normal 3 6" xfId="2177" xr:uid="{00000000-0005-0000-0000-0000CF080000}"/>
    <cellStyle name="Normal 3 6 2" xfId="2178" xr:uid="{00000000-0005-0000-0000-0000D0080000}"/>
    <cellStyle name="Normal 3 7" xfId="2179" xr:uid="{00000000-0005-0000-0000-0000D1080000}"/>
    <cellStyle name="Normal 3 7 2" xfId="2180" xr:uid="{00000000-0005-0000-0000-0000D2080000}"/>
    <cellStyle name="Normal 3 8" xfId="2181" xr:uid="{00000000-0005-0000-0000-0000D3080000}"/>
    <cellStyle name="Normal 3 8 2" xfId="2182" xr:uid="{00000000-0005-0000-0000-0000D4080000}"/>
    <cellStyle name="Normal 3 9" xfId="2183" xr:uid="{00000000-0005-0000-0000-0000D5080000}"/>
    <cellStyle name="Normal 3 9 2" xfId="2184" xr:uid="{00000000-0005-0000-0000-0000D6080000}"/>
    <cellStyle name="Normal 3_Cálculo de Beneficios Sociales" xfId="2185" xr:uid="{00000000-0005-0000-0000-0000D7080000}"/>
    <cellStyle name="Normal 30" xfId="2186" xr:uid="{00000000-0005-0000-0000-0000D8080000}"/>
    <cellStyle name="Normal 30 10" xfId="2187" xr:uid="{00000000-0005-0000-0000-0000D9080000}"/>
    <cellStyle name="Normal 30 11" xfId="2188" xr:uid="{00000000-0005-0000-0000-0000DA080000}"/>
    <cellStyle name="Normal 30 12" xfId="2189" xr:uid="{00000000-0005-0000-0000-0000DB080000}"/>
    <cellStyle name="Normal 30 13" xfId="2190" xr:uid="{00000000-0005-0000-0000-0000DC080000}"/>
    <cellStyle name="Normal 30 14" xfId="2191" xr:uid="{00000000-0005-0000-0000-0000DD080000}"/>
    <cellStyle name="Normal 30 15" xfId="2192" xr:uid="{00000000-0005-0000-0000-0000DE080000}"/>
    <cellStyle name="Normal 30 16" xfId="2193" xr:uid="{00000000-0005-0000-0000-0000DF080000}"/>
    <cellStyle name="Normal 30 2" xfId="2194" xr:uid="{00000000-0005-0000-0000-0000E0080000}"/>
    <cellStyle name="Normal 30 3" xfId="2195" xr:uid="{00000000-0005-0000-0000-0000E1080000}"/>
    <cellStyle name="Normal 30 4" xfId="2196" xr:uid="{00000000-0005-0000-0000-0000E2080000}"/>
    <cellStyle name="Normal 30 5" xfId="2197" xr:uid="{00000000-0005-0000-0000-0000E3080000}"/>
    <cellStyle name="Normal 30 6" xfId="2198" xr:uid="{00000000-0005-0000-0000-0000E4080000}"/>
    <cellStyle name="Normal 30 7" xfId="2199" xr:uid="{00000000-0005-0000-0000-0000E5080000}"/>
    <cellStyle name="Normal 30 8" xfId="2200" xr:uid="{00000000-0005-0000-0000-0000E6080000}"/>
    <cellStyle name="Normal 30 9" xfId="2201" xr:uid="{00000000-0005-0000-0000-0000E7080000}"/>
    <cellStyle name="Normal 31" xfId="2202" xr:uid="{00000000-0005-0000-0000-0000E8080000}"/>
    <cellStyle name="Normal 32" xfId="2203" xr:uid="{00000000-0005-0000-0000-0000E9080000}"/>
    <cellStyle name="Normal 33" xfId="2204" xr:uid="{00000000-0005-0000-0000-0000EA080000}"/>
    <cellStyle name="Normal 34" xfId="2205" xr:uid="{00000000-0005-0000-0000-0000EB080000}"/>
    <cellStyle name="Normal 35" xfId="2206" xr:uid="{00000000-0005-0000-0000-0000EC080000}"/>
    <cellStyle name="Normal 35 2" xfId="2207" xr:uid="{00000000-0005-0000-0000-0000ED080000}"/>
    <cellStyle name="Normal 35 3" xfId="2208" xr:uid="{00000000-0005-0000-0000-0000EE080000}"/>
    <cellStyle name="Normal 35 4" xfId="2209" xr:uid="{00000000-0005-0000-0000-0000EF080000}"/>
    <cellStyle name="Normal 36" xfId="2210" xr:uid="{00000000-0005-0000-0000-0000F0080000}"/>
    <cellStyle name="Normal 36 2" xfId="2211" xr:uid="{00000000-0005-0000-0000-0000F1080000}"/>
    <cellStyle name="Normal 36 3" xfId="2212" xr:uid="{00000000-0005-0000-0000-0000F2080000}"/>
    <cellStyle name="Normal 36 4" xfId="2213" xr:uid="{00000000-0005-0000-0000-0000F3080000}"/>
    <cellStyle name="Normal 37" xfId="2214" xr:uid="{00000000-0005-0000-0000-0000F4080000}"/>
    <cellStyle name="Normal 37 2" xfId="2215" xr:uid="{00000000-0005-0000-0000-0000F5080000}"/>
    <cellStyle name="Normal 37 3" xfId="2216" xr:uid="{00000000-0005-0000-0000-0000F6080000}"/>
    <cellStyle name="Normal 37 4" xfId="2217" xr:uid="{00000000-0005-0000-0000-0000F7080000}"/>
    <cellStyle name="Normal 38" xfId="2218" xr:uid="{00000000-0005-0000-0000-0000F8080000}"/>
    <cellStyle name="Normal 39" xfId="2219" xr:uid="{00000000-0005-0000-0000-0000F9080000}"/>
    <cellStyle name="Normal 4" xfId="2220" xr:uid="{00000000-0005-0000-0000-0000FA080000}"/>
    <cellStyle name="Normal 4 10" xfId="2221" xr:uid="{00000000-0005-0000-0000-0000FB080000}"/>
    <cellStyle name="Normal 4 11" xfId="2222" xr:uid="{00000000-0005-0000-0000-0000FC080000}"/>
    <cellStyle name="Normal 4 11 2" xfId="2223" xr:uid="{00000000-0005-0000-0000-0000FD080000}"/>
    <cellStyle name="Normal 4 11 3" xfId="2224" xr:uid="{00000000-0005-0000-0000-0000FE080000}"/>
    <cellStyle name="Normal 4 12" xfId="2225" xr:uid="{00000000-0005-0000-0000-0000FF080000}"/>
    <cellStyle name="Normal 4 12 2" xfId="2226" xr:uid="{00000000-0005-0000-0000-000000090000}"/>
    <cellStyle name="Normal 4 12 3" xfId="2227" xr:uid="{00000000-0005-0000-0000-000001090000}"/>
    <cellStyle name="Normal 4 13" xfId="2228" xr:uid="{00000000-0005-0000-0000-000002090000}"/>
    <cellStyle name="Normal 4 14" xfId="2229" xr:uid="{00000000-0005-0000-0000-000003090000}"/>
    <cellStyle name="Normal 4 15" xfId="2230" xr:uid="{00000000-0005-0000-0000-000004090000}"/>
    <cellStyle name="Normal 4 2" xfId="2231" xr:uid="{00000000-0005-0000-0000-000005090000}"/>
    <cellStyle name="Normal 4 2 2" xfId="2232" xr:uid="{00000000-0005-0000-0000-000006090000}"/>
    <cellStyle name="Normal 4 2 3" xfId="2233" xr:uid="{00000000-0005-0000-0000-000007090000}"/>
    <cellStyle name="Normal 4 2 4" xfId="2234" xr:uid="{00000000-0005-0000-0000-000008090000}"/>
    <cellStyle name="Normal 4 3" xfId="2235" xr:uid="{00000000-0005-0000-0000-000009090000}"/>
    <cellStyle name="Normal 4 3 2" xfId="2236" xr:uid="{00000000-0005-0000-0000-00000A090000}"/>
    <cellStyle name="Normal 4 4" xfId="2237" xr:uid="{00000000-0005-0000-0000-00000B090000}"/>
    <cellStyle name="Normal 4 5" xfId="2238" xr:uid="{00000000-0005-0000-0000-00000C090000}"/>
    <cellStyle name="Normal 4 6" xfId="2239" xr:uid="{00000000-0005-0000-0000-00000D090000}"/>
    <cellStyle name="Normal 4 7" xfId="2240" xr:uid="{00000000-0005-0000-0000-00000E090000}"/>
    <cellStyle name="Normal 4 8" xfId="2241" xr:uid="{00000000-0005-0000-0000-00000F090000}"/>
    <cellStyle name="Normal 4 9" xfId="2242" xr:uid="{00000000-0005-0000-0000-000010090000}"/>
    <cellStyle name="Normal 40" xfId="2243" xr:uid="{00000000-0005-0000-0000-000011090000}"/>
    <cellStyle name="Normal 40 2" xfId="2244" xr:uid="{00000000-0005-0000-0000-000012090000}"/>
    <cellStyle name="Normal 40 2 2" xfId="2245" xr:uid="{00000000-0005-0000-0000-000013090000}"/>
    <cellStyle name="Normal 40 3" xfId="2246" xr:uid="{00000000-0005-0000-0000-000014090000}"/>
    <cellStyle name="Normal 41" xfId="2247" xr:uid="{00000000-0005-0000-0000-000015090000}"/>
    <cellStyle name="Normal 42" xfId="2248" xr:uid="{00000000-0005-0000-0000-000016090000}"/>
    <cellStyle name="Normal 42 2" xfId="2249" xr:uid="{00000000-0005-0000-0000-000017090000}"/>
    <cellStyle name="Normal 42 3" xfId="2250" xr:uid="{00000000-0005-0000-0000-000018090000}"/>
    <cellStyle name="Normal 43" xfId="2251" xr:uid="{00000000-0005-0000-0000-000019090000}"/>
    <cellStyle name="Normal 44" xfId="2252" xr:uid="{00000000-0005-0000-0000-00001A090000}"/>
    <cellStyle name="Normal 45" xfId="2253" xr:uid="{00000000-0005-0000-0000-00001B090000}"/>
    <cellStyle name="Normal 46" xfId="2254" xr:uid="{00000000-0005-0000-0000-00001C090000}"/>
    <cellStyle name="Normal 47" xfId="2255" xr:uid="{00000000-0005-0000-0000-00001D090000}"/>
    <cellStyle name="Normal 48" xfId="2256" xr:uid="{00000000-0005-0000-0000-00001E090000}"/>
    <cellStyle name="Normal 49" xfId="2257" xr:uid="{00000000-0005-0000-0000-00001F090000}"/>
    <cellStyle name="Normal 5" xfId="2258" xr:uid="{00000000-0005-0000-0000-000020090000}"/>
    <cellStyle name="Normal 5 10" xfId="2259" xr:uid="{00000000-0005-0000-0000-000021090000}"/>
    <cellStyle name="Normal 5 11" xfId="2260" xr:uid="{00000000-0005-0000-0000-000022090000}"/>
    <cellStyle name="Normal 5 12" xfId="2261" xr:uid="{00000000-0005-0000-0000-000023090000}"/>
    <cellStyle name="Normal 5 13" xfId="2262" xr:uid="{00000000-0005-0000-0000-000024090000}"/>
    <cellStyle name="Normal 5 14" xfId="2263" xr:uid="{00000000-0005-0000-0000-000025090000}"/>
    <cellStyle name="Normal 5 15" xfId="2264" xr:uid="{00000000-0005-0000-0000-000026090000}"/>
    <cellStyle name="Normal 5 2" xfId="2265" xr:uid="{00000000-0005-0000-0000-000027090000}"/>
    <cellStyle name="Normal 5 2 2" xfId="2266" xr:uid="{00000000-0005-0000-0000-000028090000}"/>
    <cellStyle name="Normal 5 3" xfId="2267" xr:uid="{00000000-0005-0000-0000-000029090000}"/>
    <cellStyle name="Normal 5 4" xfId="2268" xr:uid="{00000000-0005-0000-0000-00002A090000}"/>
    <cellStyle name="Normal 5 4 2" xfId="2269" xr:uid="{00000000-0005-0000-0000-00002B090000}"/>
    <cellStyle name="Normal 5 5" xfId="2270" xr:uid="{00000000-0005-0000-0000-00002C090000}"/>
    <cellStyle name="Normal 5 6" xfId="2271" xr:uid="{00000000-0005-0000-0000-00002D090000}"/>
    <cellStyle name="Normal 5 7" xfId="2272" xr:uid="{00000000-0005-0000-0000-00002E090000}"/>
    <cellStyle name="Normal 5 8" xfId="2273" xr:uid="{00000000-0005-0000-0000-00002F090000}"/>
    <cellStyle name="Normal 5 9" xfId="2274" xr:uid="{00000000-0005-0000-0000-000030090000}"/>
    <cellStyle name="Normal 5_Base Datos" xfId="2275" xr:uid="{00000000-0005-0000-0000-000031090000}"/>
    <cellStyle name="Normal 50" xfId="2276" xr:uid="{00000000-0005-0000-0000-000032090000}"/>
    <cellStyle name="Normal 51" xfId="2277" xr:uid="{00000000-0005-0000-0000-000033090000}"/>
    <cellStyle name="Normal 52" xfId="2278" xr:uid="{00000000-0005-0000-0000-000034090000}"/>
    <cellStyle name="Normal 53" xfId="2279" xr:uid="{00000000-0005-0000-0000-000035090000}"/>
    <cellStyle name="Normal 54" xfId="2280" xr:uid="{00000000-0005-0000-0000-000036090000}"/>
    <cellStyle name="Normal 55" xfId="2281" xr:uid="{00000000-0005-0000-0000-000037090000}"/>
    <cellStyle name="Normal 56" xfId="2282" xr:uid="{00000000-0005-0000-0000-000038090000}"/>
    <cellStyle name="Normal 57" xfId="2283" xr:uid="{00000000-0005-0000-0000-000039090000}"/>
    <cellStyle name="Normal 58" xfId="2284" xr:uid="{00000000-0005-0000-0000-00003A090000}"/>
    <cellStyle name="Normal 59" xfId="2285" xr:uid="{00000000-0005-0000-0000-00003B090000}"/>
    <cellStyle name="Normal 6" xfId="2286" xr:uid="{00000000-0005-0000-0000-00003C090000}"/>
    <cellStyle name="Normal 6 10" xfId="2287" xr:uid="{00000000-0005-0000-0000-00003D090000}"/>
    <cellStyle name="Normal 6 11" xfId="2288" xr:uid="{00000000-0005-0000-0000-00003E090000}"/>
    <cellStyle name="Normal 6 12" xfId="2289" xr:uid="{00000000-0005-0000-0000-00003F090000}"/>
    <cellStyle name="Normal 6 13" xfId="2290" xr:uid="{00000000-0005-0000-0000-000040090000}"/>
    <cellStyle name="Normal 6 14" xfId="2291" xr:uid="{00000000-0005-0000-0000-000041090000}"/>
    <cellStyle name="Normal 6 15" xfId="2292" xr:uid="{00000000-0005-0000-0000-000042090000}"/>
    <cellStyle name="Normal 6 2" xfId="2293" xr:uid="{00000000-0005-0000-0000-000043090000}"/>
    <cellStyle name="Normal 6 2 2" xfId="2294" xr:uid="{00000000-0005-0000-0000-000044090000}"/>
    <cellStyle name="Normal 6 3" xfId="2295" xr:uid="{00000000-0005-0000-0000-000045090000}"/>
    <cellStyle name="Normal 6 4" xfId="2296" xr:uid="{00000000-0005-0000-0000-000046090000}"/>
    <cellStyle name="Normal 6 4 2" xfId="2297" xr:uid="{00000000-0005-0000-0000-000047090000}"/>
    <cellStyle name="Normal 6 5" xfId="2298" xr:uid="{00000000-0005-0000-0000-000048090000}"/>
    <cellStyle name="Normal 6 6" xfId="2299" xr:uid="{00000000-0005-0000-0000-000049090000}"/>
    <cellStyle name="Normal 6 7" xfId="2300" xr:uid="{00000000-0005-0000-0000-00004A090000}"/>
    <cellStyle name="Normal 6 8" xfId="2301" xr:uid="{00000000-0005-0000-0000-00004B090000}"/>
    <cellStyle name="Normal 6 9" xfId="2302" xr:uid="{00000000-0005-0000-0000-00004C090000}"/>
    <cellStyle name="Normal 6_Base Datos" xfId="2303" xr:uid="{00000000-0005-0000-0000-00004D090000}"/>
    <cellStyle name="Normal 60" xfId="2304" xr:uid="{00000000-0005-0000-0000-00004E090000}"/>
    <cellStyle name="Normal 61" xfId="2305" xr:uid="{00000000-0005-0000-0000-00004F090000}"/>
    <cellStyle name="Normal 62" xfId="2306" xr:uid="{00000000-0005-0000-0000-000050090000}"/>
    <cellStyle name="Normal 63" xfId="2307" xr:uid="{00000000-0005-0000-0000-000051090000}"/>
    <cellStyle name="Normal 64" xfId="2308" xr:uid="{00000000-0005-0000-0000-000052090000}"/>
    <cellStyle name="Normal 64 2" xfId="2309" xr:uid="{00000000-0005-0000-0000-000053090000}"/>
    <cellStyle name="Normal 65" xfId="2310" xr:uid="{00000000-0005-0000-0000-000054090000}"/>
    <cellStyle name="Normal 65 2" xfId="2311" xr:uid="{00000000-0005-0000-0000-000055090000}"/>
    <cellStyle name="Normal 66" xfId="2312" xr:uid="{00000000-0005-0000-0000-000056090000}"/>
    <cellStyle name="Normal 66 2" xfId="2313" xr:uid="{00000000-0005-0000-0000-000057090000}"/>
    <cellStyle name="Normal 67" xfId="2314" xr:uid="{00000000-0005-0000-0000-000058090000}"/>
    <cellStyle name="Normal 67 2" xfId="2315" xr:uid="{00000000-0005-0000-0000-000059090000}"/>
    <cellStyle name="Normal 68" xfId="2316" xr:uid="{00000000-0005-0000-0000-00005A090000}"/>
    <cellStyle name="Normal 69" xfId="2317" xr:uid="{00000000-0005-0000-0000-00005B090000}"/>
    <cellStyle name="Normal 7" xfId="2318" xr:uid="{00000000-0005-0000-0000-00005C090000}"/>
    <cellStyle name="Normal 7 2" xfId="2319" xr:uid="{00000000-0005-0000-0000-00005D090000}"/>
    <cellStyle name="Normal 7 3" xfId="2320" xr:uid="{00000000-0005-0000-0000-00005E090000}"/>
    <cellStyle name="Normal 7 3 2" xfId="2321" xr:uid="{00000000-0005-0000-0000-00005F090000}"/>
    <cellStyle name="Normal 7 4" xfId="2322" xr:uid="{00000000-0005-0000-0000-000060090000}"/>
    <cellStyle name="Normal 70" xfId="2323" xr:uid="{00000000-0005-0000-0000-000061090000}"/>
    <cellStyle name="Normal 71" xfId="2324" xr:uid="{00000000-0005-0000-0000-000062090000}"/>
    <cellStyle name="Normal 72" xfId="2325" xr:uid="{00000000-0005-0000-0000-000063090000}"/>
    <cellStyle name="Normal 73" xfId="2326" xr:uid="{00000000-0005-0000-0000-000064090000}"/>
    <cellStyle name="Normal 74" xfId="2327" xr:uid="{00000000-0005-0000-0000-000065090000}"/>
    <cellStyle name="Normal 74 2" xfId="2328" xr:uid="{00000000-0005-0000-0000-000066090000}"/>
    <cellStyle name="Normal 75" xfId="2329" xr:uid="{00000000-0005-0000-0000-000067090000}"/>
    <cellStyle name="Normal 75 2" xfId="2330" xr:uid="{00000000-0005-0000-0000-000068090000}"/>
    <cellStyle name="Normal 76" xfId="2331" xr:uid="{00000000-0005-0000-0000-000069090000}"/>
    <cellStyle name="Normal 76 2" xfId="2332" xr:uid="{00000000-0005-0000-0000-00006A090000}"/>
    <cellStyle name="Normal 77" xfId="2333" xr:uid="{00000000-0005-0000-0000-00006B090000}"/>
    <cellStyle name="Normal 78" xfId="2334" xr:uid="{00000000-0005-0000-0000-00006C090000}"/>
    <cellStyle name="Normal 79" xfId="2335" xr:uid="{00000000-0005-0000-0000-00006D090000}"/>
    <cellStyle name="Normal 8" xfId="2336" xr:uid="{00000000-0005-0000-0000-00006E090000}"/>
    <cellStyle name="Normal 8 2" xfId="2337" xr:uid="{00000000-0005-0000-0000-00006F090000}"/>
    <cellStyle name="Normal 8 3" xfId="2338" xr:uid="{00000000-0005-0000-0000-000070090000}"/>
    <cellStyle name="Normal 8 3 2" xfId="2339" xr:uid="{00000000-0005-0000-0000-000071090000}"/>
    <cellStyle name="Normal 80" xfId="2340" xr:uid="{00000000-0005-0000-0000-000072090000}"/>
    <cellStyle name="Normal 80 2" xfId="2341" xr:uid="{00000000-0005-0000-0000-000073090000}"/>
    <cellStyle name="Normal 81" xfId="2342" xr:uid="{00000000-0005-0000-0000-000074090000}"/>
    <cellStyle name="Normal 82" xfId="2343" xr:uid="{00000000-0005-0000-0000-000075090000}"/>
    <cellStyle name="Normal 83" xfId="2344" xr:uid="{00000000-0005-0000-0000-000076090000}"/>
    <cellStyle name="Normal 84" xfId="2345" xr:uid="{00000000-0005-0000-0000-000077090000}"/>
    <cellStyle name="Normal 85" xfId="2346" xr:uid="{00000000-0005-0000-0000-000078090000}"/>
    <cellStyle name="Normal 86" xfId="2347" xr:uid="{00000000-0005-0000-0000-000079090000}"/>
    <cellStyle name="Normal 87" xfId="2348" xr:uid="{00000000-0005-0000-0000-00007A090000}"/>
    <cellStyle name="Normal 88" xfId="2349" xr:uid="{00000000-0005-0000-0000-00007B090000}"/>
    <cellStyle name="Normal 89" xfId="2350" xr:uid="{00000000-0005-0000-0000-00007C090000}"/>
    <cellStyle name="Normal 9" xfId="2351" xr:uid="{00000000-0005-0000-0000-00007D090000}"/>
    <cellStyle name="Normal 9 10" xfId="2352" xr:uid="{00000000-0005-0000-0000-00007E090000}"/>
    <cellStyle name="Normal 9 11" xfId="2353" xr:uid="{00000000-0005-0000-0000-00007F090000}"/>
    <cellStyle name="Normal 9 12" xfId="2354" xr:uid="{00000000-0005-0000-0000-000080090000}"/>
    <cellStyle name="Normal 9 13" xfId="2355" xr:uid="{00000000-0005-0000-0000-000081090000}"/>
    <cellStyle name="Normal 9 14" xfId="2356" xr:uid="{00000000-0005-0000-0000-000082090000}"/>
    <cellStyle name="Normal 9 15" xfId="2357" xr:uid="{00000000-0005-0000-0000-000083090000}"/>
    <cellStyle name="Normal 9 2" xfId="2358" xr:uid="{00000000-0005-0000-0000-000084090000}"/>
    <cellStyle name="Normal 9 2 2" xfId="2359" xr:uid="{00000000-0005-0000-0000-000085090000}"/>
    <cellStyle name="Normal 9 2 3" xfId="2360" xr:uid="{00000000-0005-0000-0000-000086090000}"/>
    <cellStyle name="Normal 9 3" xfId="2361" xr:uid="{00000000-0005-0000-0000-000087090000}"/>
    <cellStyle name="Normal 9 4" xfId="2362" xr:uid="{00000000-0005-0000-0000-000088090000}"/>
    <cellStyle name="Normal 9 5" xfId="2363" xr:uid="{00000000-0005-0000-0000-000089090000}"/>
    <cellStyle name="Normal 9 6" xfId="2364" xr:uid="{00000000-0005-0000-0000-00008A090000}"/>
    <cellStyle name="Normal 9 7" xfId="2365" xr:uid="{00000000-0005-0000-0000-00008B090000}"/>
    <cellStyle name="Normal 9 8" xfId="2366" xr:uid="{00000000-0005-0000-0000-00008C090000}"/>
    <cellStyle name="Normal 9 9" xfId="2367" xr:uid="{00000000-0005-0000-0000-00008D090000}"/>
    <cellStyle name="Normal 90" xfId="2368" xr:uid="{00000000-0005-0000-0000-00008E090000}"/>
    <cellStyle name="Normal 91" xfId="2369" xr:uid="{00000000-0005-0000-0000-00008F090000}"/>
    <cellStyle name="Normal 92" xfId="2370" xr:uid="{00000000-0005-0000-0000-000090090000}"/>
    <cellStyle name="Normal 93" xfId="2371" xr:uid="{00000000-0005-0000-0000-000091090000}"/>
    <cellStyle name="Normal 94" xfId="2372" xr:uid="{00000000-0005-0000-0000-000092090000}"/>
    <cellStyle name="Normal 95" xfId="2373" xr:uid="{00000000-0005-0000-0000-000093090000}"/>
    <cellStyle name="Normal 96" xfId="2374" xr:uid="{00000000-0005-0000-0000-000094090000}"/>
    <cellStyle name="Normal 97" xfId="2375" xr:uid="{00000000-0005-0000-0000-000095090000}"/>
    <cellStyle name="Normal 98" xfId="2376" xr:uid="{00000000-0005-0000-0000-000096090000}"/>
    <cellStyle name="Normal 99" xfId="2377" xr:uid="{00000000-0005-0000-0000-000097090000}"/>
    <cellStyle name="Notas 2" xfId="2378" xr:uid="{00000000-0005-0000-0000-000098090000}"/>
    <cellStyle name="Notas 2 2" xfId="2379" xr:uid="{00000000-0005-0000-0000-000099090000}"/>
    <cellStyle name="Notas 2 2 2" xfId="2380" xr:uid="{00000000-0005-0000-0000-00009A090000}"/>
    <cellStyle name="Notas 2 2 2 2" xfId="2381" xr:uid="{00000000-0005-0000-0000-00009B090000}"/>
    <cellStyle name="Notas 2 2 2 2 2" xfId="2824" xr:uid="{00000000-0005-0000-0000-00009C090000}"/>
    <cellStyle name="Notas 2 2 2 2 3" xfId="2775" xr:uid="{00000000-0005-0000-0000-00009D090000}"/>
    <cellStyle name="Notas 2 2 2 3" xfId="2823" xr:uid="{00000000-0005-0000-0000-00009E090000}"/>
    <cellStyle name="Notas 2 2 2 4" xfId="2776" xr:uid="{00000000-0005-0000-0000-00009F090000}"/>
    <cellStyle name="Notas 2 2 3" xfId="2382" xr:uid="{00000000-0005-0000-0000-0000A0090000}"/>
    <cellStyle name="Notas 2 2 3 2" xfId="2825" xr:uid="{00000000-0005-0000-0000-0000A1090000}"/>
    <cellStyle name="Notas 2 2 3 3" xfId="2774" xr:uid="{00000000-0005-0000-0000-0000A2090000}"/>
    <cellStyle name="Notas 2 2 4" xfId="2383" xr:uid="{00000000-0005-0000-0000-0000A3090000}"/>
    <cellStyle name="Notas 2 2 4 2" xfId="2826" xr:uid="{00000000-0005-0000-0000-0000A4090000}"/>
    <cellStyle name="Notas 2 2 4 3" xfId="2773" xr:uid="{00000000-0005-0000-0000-0000A5090000}"/>
    <cellStyle name="Notas 2 2 5" xfId="2822" xr:uid="{00000000-0005-0000-0000-0000A6090000}"/>
    <cellStyle name="Notas 2 2 6" xfId="2777" xr:uid="{00000000-0005-0000-0000-0000A7090000}"/>
    <cellStyle name="Notas 2 3" xfId="2384" xr:uid="{00000000-0005-0000-0000-0000A8090000}"/>
    <cellStyle name="Notas 2 3 2" xfId="2385" xr:uid="{00000000-0005-0000-0000-0000A9090000}"/>
    <cellStyle name="Notas 2 3 2 2" xfId="2386" xr:uid="{00000000-0005-0000-0000-0000AA090000}"/>
    <cellStyle name="Notas 2 3 3" xfId="2387" xr:uid="{00000000-0005-0000-0000-0000AB090000}"/>
    <cellStyle name="Notas 2 3 4" xfId="2388" xr:uid="{00000000-0005-0000-0000-0000AC090000}"/>
    <cellStyle name="Notas 2 3 4 2" xfId="2828" xr:uid="{00000000-0005-0000-0000-0000AD090000}"/>
    <cellStyle name="Notas 2 3 4 3" xfId="2771" xr:uid="{00000000-0005-0000-0000-0000AE090000}"/>
    <cellStyle name="Notas 2 3 5" xfId="2827" xr:uid="{00000000-0005-0000-0000-0000AF090000}"/>
    <cellStyle name="Notas 2 3 6" xfId="2772" xr:uid="{00000000-0005-0000-0000-0000B0090000}"/>
    <cellStyle name="Notas 2 4" xfId="2389" xr:uid="{00000000-0005-0000-0000-0000B1090000}"/>
    <cellStyle name="Notas 2 4 2" xfId="2390" xr:uid="{00000000-0005-0000-0000-0000B2090000}"/>
    <cellStyle name="Notas 2 5" xfId="2391" xr:uid="{00000000-0005-0000-0000-0000B3090000}"/>
    <cellStyle name="Notas 2 5 2" xfId="2392" xr:uid="{00000000-0005-0000-0000-0000B4090000}"/>
    <cellStyle name="Notas 2 6" xfId="2393" xr:uid="{00000000-0005-0000-0000-0000B5090000}"/>
    <cellStyle name="Notas 2 7" xfId="2394" xr:uid="{00000000-0005-0000-0000-0000B6090000}"/>
    <cellStyle name="Notas 2 7 2" xfId="2829" xr:uid="{00000000-0005-0000-0000-0000B7090000}"/>
    <cellStyle name="Notas 2 7 3" xfId="2770" xr:uid="{00000000-0005-0000-0000-0000B8090000}"/>
    <cellStyle name="Notas 2 8" xfId="2821" xr:uid="{00000000-0005-0000-0000-0000B9090000}"/>
    <cellStyle name="Notas 2 9" xfId="2778" xr:uid="{00000000-0005-0000-0000-0000BA090000}"/>
    <cellStyle name="Notas 3" xfId="2395" xr:uid="{00000000-0005-0000-0000-0000BB090000}"/>
    <cellStyle name="Notas 3 2" xfId="2396" xr:uid="{00000000-0005-0000-0000-0000BC090000}"/>
    <cellStyle name="Notas 3 2 2" xfId="2397" xr:uid="{00000000-0005-0000-0000-0000BD090000}"/>
    <cellStyle name="Notas 3 3" xfId="2398" xr:uid="{00000000-0005-0000-0000-0000BE090000}"/>
    <cellStyle name="Notas 3 3 2" xfId="2399" xr:uid="{00000000-0005-0000-0000-0000BF090000}"/>
    <cellStyle name="Notas 3 4" xfId="2400" xr:uid="{00000000-0005-0000-0000-0000C0090000}"/>
    <cellStyle name="Notas 4" xfId="2401" xr:uid="{00000000-0005-0000-0000-0000C1090000}"/>
    <cellStyle name="Notas 4 2" xfId="2402" xr:uid="{00000000-0005-0000-0000-0000C2090000}"/>
    <cellStyle name="Notas 4 2 2" xfId="2403" xr:uid="{00000000-0005-0000-0000-0000C3090000}"/>
    <cellStyle name="Notas 4 3" xfId="2404" xr:uid="{00000000-0005-0000-0000-0000C4090000}"/>
    <cellStyle name="Notas 4 3 2" xfId="2405" xr:uid="{00000000-0005-0000-0000-0000C5090000}"/>
    <cellStyle name="Notas 4 4" xfId="2406" xr:uid="{00000000-0005-0000-0000-0000C6090000}"/>
    <cellStyle name="Notas 5" xfId="2407" xr:uid="{00000000-0005-0000-0000-0000C7090000}"/>
    <cellStyle name="Notas 5 2" xfId="2408" xr:uid="{00000000-0005-0000-0000-0000C8090000}"/>
    <cellStyle name="Notas 5 2 2" xfId="2409" xr:uid="{00000000-0005-0000-0000-0000C9090000}"/>
    <cellStyle name="Notas 5 3" xfId="2410" xr:uid="{00000000-0005-0000-0000-0000CA090000}"/>
    <cellStyle name="Notas 5 3 2" xfId="2411" xr:uid="{00000000-0005-0000-0000-0000CB090000}"/>
    <cellStyle name="Notas 5 4" xfId="2412" xr:uid="{00000000-0005-0000-0000-0000CC090000}"/>
    <cellStyle name="Notas 5 4 2" xfId="2413" xr:uid="{00000000-0005-0000-0000-0000CD090000}"/>
    <cellStyle name="Notas 5 5" xfId="2414" xr:uid="{00000000-0005-0000-0000-0000CE090000}"/>
    <cellStyle name="Notas 5 5 2" xfId="2415" xr:uid="{00000000-0005-0000-0000-0000CF090000}"/>
    <cellStyle name="Notas 5 6" xfId="2416" xr:uid="{00000000-0005-0000-0000-0000D0090000}"/>
    <cellStyle name="Notas 6" xfId="2417" xr:uid="{00000000-0005-0000-0000-0000D1090000}"/>
    <cellStyle name="Note" xfId="2418" xr:uid="{00000000-0005-0000-0000-0000D2090000}"/>
    <cellStyle name="Note 2" xfId="2419" xr:uid="{00000000-0005-0000-0000-0000D3090000}"/>
    <cellStyle name="Note 2 2" xfId="2831" xr:uid="{00000000-0005-0000-0000-0000D4090000}"/>
    <cellStyle name="Note 2 3" xfId="2768" xr:uid="{00000000-0005-0000-0000-0000D5090000}"/>
    <cellStyle name="Note 3" xfId="2830" xr:uid="{00000000-0005-0000-0000-0000D6090000}"/>
    <cellStyle name="Note 4" xfId="2769" xr:uid="{00000000-0005-0000-0000-0000D7090000}"/>
    <cellStyle name="Note_Cálculo de Beneficios Sociales" xfId="2420" xr:uid="{00000000-0005-0000-0000-0000D8090000}"/>
    <cellStyle name="Œ…‹æØ‚è [0.00]_!!!GO" xfId="2421" xr:uid="{00000000-0005-0000-0000-0000D9090000}"/>
    <cellStyle name="Œ…‹æØ‚è_!!!GO" xfId="2422" xr:uid="{00000000-0005-0000-0000-0000DA090000}"/>
    <cellStyle name="Output" xfId="6" xr:uid="{00000000-0005-0000-0000-0000DB090000}"/>
    <cellStyle name="Output 2" xfId="2423" xr:uid="{00000000-0005-0000-0000-0000DC090000}"/>
    <cellStyle name="Output 2 2" xfId="2833" xr:uid="{00000000-0005-0000-0000-0000DD090000}"/>
    <cellStyle name="Output 2 3" xfId="2766" xr:uid="{00000000-0005-0000-0000-0000DE090000}"/>
    <cellStyle name="Output 3" xfId="2832" xr:uid="{00000000-0005-0000-0000-0000DF090000}"/>
    <cellStyle name="Output 4" xfId="2767" xr:uid="{00000000-0005-0000-0000-0000E0090000}"/>
    <cellStyle name="Output_Cálculo de Beneficios Sociales" xfId="2424" xr:uid="{00000000-0005-0000-0000-0000E1090000}"/>
    <cellStyle name="per.style" xfId="2425" xr:uid="{00000000-0005-0000-0000-0000E2090000}"/>
    <cellStyle name="per.style 2" xfId="2426" xr:uid="{00000000-0005-0000-0000-0000E3090000}"/>
    <cellStyle name="Percent [2]" xfId="2427" xr:uid="{00000000-0005-0000-0000-0000E4090000}"/>
    <cellStyle name="Porcentaje" xfId="2842" builtinId="5"/>
    <cellStyle name="Porcentaje 10" xfId="2428" xr:uid="{00000000-0005-0000-0000-0000E6090000}"/>
    <cellStyle name="Porcentaje 2" xfId="2429" xr:uid="{00000000-0005-0000-0000-0000E7090000}"/>
    <cellStyle name="Porcentaje 2 10" xfId="2430" xr:uid="{00000000-0005-0000-0000-0000E8090000}"/>
    <cellStyle name="Porcentaje 2 10 10" xfId="2431" xr:uid="{00000000-0005-0000-0000-0000E9090000}"/>
    <cellStyle name="Porcentaje 2 10 11" xfId="2432" xr:uid="{00000000-0005-0000-0000-0000EA090000}"/>
    <cellStyle name="Porcentaje 2 10 12" xfId="2433" xr:uid="{00000000-0005-0000-0000-0000EB090000}"/>
    <cellStyle name="Porcentaje 2 10 13" xfId="2434" xr:uid="{00000000-0005-0000-0000-0000EC090000}"/>
    <cellStyle name="Porcentaje 2 10 14" xfId="2435" xr:uid="{00000000-0005-0000-0000-0000ED090000}"/>
    <cellStyle name="Porcentaje 2 10 15" xfId="2436" xr:uid="{00000000-0005-0000-0000-0000EE090000}"/>
    <cellStyle name="Porcentaje 2 10 2" xfId="2437" xr:uid="{00000000-0005-0000-0000-0000EF090000}"/>
    <cellStyle name="Porcentaje 2 10 3" xfId="2438" xr:uid="{00000000-0005-0000-0000-0000F0090000}"/>
    <cellStyle name="Porcentaje 2 10 4" xfId="2439" xr:uid="{00000000-0005-0000-0000-0000F1090000}"/>
    <cellStyle name="Porcentaje 2 10 5" xfId="2440" xr:uid="{00000000-0005-0000-0000-0000F2090000}"/>
    <cellStyle name="Porcentaje 2 10 6" xfId="2441" xr:uid="{00000000-0005-0000-0000-0000F3090000}"/>
    <cellStyle name="Porcentaje 2 10 7" xfId="2442" xr:uid="{00000000-0005-0000-0000-0000F4090000}"/>
    <cellStyle name="Porcentaje 2 10 8" xfId="2443" xr:uid="{00000000-0005-0000-0000-0000F5090000}"/>
    <cellStyle name="Porcentaje 2 10 9" xfId="2444" xr:uid="{00000000-0005-0000-0000-0000F6090000}"/>
    <cellStyle name="Porcentaje 2 11" xfId="2445" xr:uid="{00000000-0005-0000-0000-0000F7090000}"/>
    <cellStyle name="Porcentaje 2 11 10" xfId="2446" xr:uid="{00000000-0005-0000-0000-0000F8090000}"/>
    <cellStyle name="Porcentaje 2 11 11" xfId="2447" xr:uid="{00000000-0005-0000-0000-0000F9090000}"/>
    <cellStyle name="Porcentaje 2 11 12" xfId="2448" xr:uid="{00000000-0005-0000-0000-0000FA090000}"/>
    <cellStyle name="Porcentaje 2 11 13" xfId="2449" xr:uid="{00000000-0005-0000-0000-0000FB090000}"/>
    <cellStyle name="Porcentaje 2 11 14" xfId="2450" xr:uid="{00000000-0005-0000-0000-0000FC090000}"/>
    <cellStyle name="Porcentaje 2 11 15" xfId="2451" xr:uid="{00000000-0005-0000-0000-0000FD090000}"/>
    <cellStyle name="Porcentaje 2 11 2" xfId="2452" xr:uid="{00000000-0005-0000-0000-0000FE090000}"/>
    <cellStyle name="Porcentaje 2 11 3" xfId="2453" xr:uid="{00000000-0005-0000-0000-0000FF090000}"/>
    <cellStyle name="Porcentaje 2 11 4" xfId="2454" xr:uid="{00000000-0005-0000-0000-0000000A0000}"/>
    <cellStyle name="Porcentaje 2 11 5" xfId="2455" xr:uid="{00000000-0005-0000-0000-0000010A0000}"/>
    <cellStyle name="Porcentaje 2 11 6" xfId="2456" xr:uid="{00000000-0005-0000-0000-0000020A0000}"/>
    <cellStyle name="Porcentaje 2 11 7" xfId="2457" xr:uid="{00000000-0005-0000-0000-0000030A0000}"/>
    <cellStyle name="Porcentaje 2 11 8" xfId="2458" xr:uid="{00000000-0005-0000-0000-0000040A0000}"/>
    <cellStyle name="Porcentaje 2 11 9" xfId="2459" xr:uid="{00000000-0005-0000-0000-0000050A0000}"/>
    <cellStyle name="Porcentaje 2 12" xfId="2460" xr:uid="{00000000-0005-0000-0000-0000060A0000}"/>
    <cellStyle name="Porcentaje 2 12 10" xfId="2461" xr:uid="{00000000-0005-0000-0000-0000070A0000}"/>
    <cellStyle name="Porcentaje 2 12 11" xfId="2462" xr:uid="{00000000-0005-0000-0000-0000080A0000}"/>
    <cellStyle name="Porcentaje 2 12 12" xfId="2463" xr:uid="{00000000-0005-0000-0000-0000090A0000}"/>
    <cellStyle name="Porcentaje 2 12 13" xfId="2464" xr:uid="{00000000-0005-0000-0000-00000A0A0000}"/>
    <cellStyle name="Porcentaje 2 12 14" xfId="2465" xr:uid="{00000000-0005-0000-0000-00000B0A0000}"/>
    <cellStyle name="Porcentaje 2 12 15" xfId="2466" xr:uid="{00000000-0005-0000-0000-00000C0A0000}"/>
    <cellStyle name="Porcentaje 2 12 2" xfId="2467" xr:uid="{00000000-0005-0000-0000-00000D0A0000}"/>
    <cellStyle name="Porcentaje 2 12 3" xfId="2468" xr:uid="{00000000-0005-0000-0000-00000E0A0000}"/>
    <cellStyle name="Porcentaje 2 12 4" xfId="2469" xr:uid="{00000000-0005-0000-0000-00000F0A0000}"/>
    <cellStyle name="Porcentaje 2 12 5" xfId="2470" xr:uid="{00000000-0005-0000-0000-0000100A0000}"/>
    <cellStyle name="Porcentaje 2 12 6" xfId="2471" xr:uid="{00000000-0005-0000-0000-0000110A0000}"/>
    <cellStyle name="Porcentaje 2 12 7" xfId="2472" xr:uid="{00000000-0005-0000-0000-0000120A0000}"/>
    <cellStyle name="Porcentaje 2 12 8" xfId="2473" xr:uid="{00000000-0005-0000-0000-0000130A0000}"/>
    <cellStyle name="Porcentaje 2 12 9" xfId="2474" xr:uid="{00000000-0005-0000-0000-0000140A0000}"/>
    <cellStyle name="Porcentaje 2 13" xfId="2475" xr:uid="{00000000-0005-0000-0000-0000150A0000}"/>
    <cellStyle name="Porcentaje 2 13 10" xfId="2476" xr:uid="{00000000-0005-0000-0000-0000160A0000}"/>
    <cellStyle name="Porcentaje 2 13 11" xfId="2477" xr:uid="{00000000-0005-0000-0000-0000170A0000}"/>
    <cellStyle name="Porcentaje 2 13 12" xfId="2478" xr:uid="{00000000-0005-0000-0000-0000180A0000}"/>
    <cellStyle name="Porcentaje 2 13 13" xfId="2479" xr:uid="{00000000-0005-0000-0000-0000190A0000}"/>
    <cellStyle name="Porcentaje 2 13 14" xfId="2480" xr:uid="{00000000-0005-0000-0000-00001A0A0000}"/>
    <cellStyle name="Porcentaje 2 13 15" xfId="2481" xr:uid="{00000000-0005-0000-0000-00001B0A0000}"/>
    <cellStyle name="Porcentaje 2 13 2" xfId="2482" xr:uid="{00000000-0005-0000-0000-00001C0A0000}"/>
    <cellStyle name="Porcentaje 2 13 3" xfId="2483" xr:uid="{00000000-0005-0000-0000-00001D0A0000}"/>
    <cellStyle name="Porcentaje 2 13 4" xfId="2484" xr:uid="{00000000-0005-0000-0000-00001E0A0000}"/>
    <cellStyle name="Porcentaje 2 13 5" xfId="2485" xr:uid="{00000000-0005-0000-0000-00001F0A0000}"/>
    <cellStyle name="Porcentaje 2 13 6" xfId="2486" xr:uid="{00000000-0005-0000-0000-0000200A0000}"/>
    <cellStyle name="Porcentaje 2 13 7" xfId="2487" xr:uid="{00000000-0005-0000-0000-0000210A0000}"/>
    <cellStyle name="Porcentaje 2 13 8" xfId="2488" xr:uid="{00000000-0005-0000-0000-0000220A0000}"/>
    <cellStyle name="Porcentaje 2 13 9" xfId="2489" xr:uid="{00000000-0005-0000-0000-0000230A0000}"/>
    <cellStyle name="Porcentaje 2 14" xfId="2490" xr:uid="{00000000-0005-0000-0000-0000240A0000}"/>
    <cellStyle name="Porcentaje 2 14 10" xfId="2491" xr:uid="{00000000-0005-0000-0000-0000250A0000}"/>
    <cellStyle name="Porcentaje 2 14 11" xfId="2492" xr:uid="{00000000-0005-0000-0000-0000260A0000}"/>
    <cellStyle name="Porcentaje 2 14 12" xfId="2493" xr:uid="{00000000-0005-0000-0000-0000270A0000}"/>
    <cellStyle name="Porcentaje 2 14 13" xfId="2494" xr:uid="{00000000-0005-0000-0000-0000280A0000}"/>
    <cellStyle name="Porcentaje 2 14 14" xfId="2495" xr:uid="{00000000-0005-0000-0000-0000290A0000}"/>
    <cellStyle name="Porcentaje 2 14 15" xfId="2496" xr:uid="{00000000-0005-0000-0000-00002A0A0000}"/>
    <cellStyle name="Porcentaje 2 14 2" xfId="2497" xr:uid="{00000000-0005-0000-0000-00002B0A0000}"/>
    <cellStyle name="Porcentaje 2 14 3" xfId="2498" xr:uid="{00000000-0005-0000-0000-00002C0A0000}"/>
    <cellStyle name="Porcentaje 2 14 4" xfId="2499" xr:uid="{00000000-0005-0000-0000-00002D0A0000}"/>
    <cellStyle name="Porcentaje 2 14 5" xfId="2500" xr:uid="{00000000-0005-0000-0000-00002E0A0000}"/>
    <cellStyle name="Porcentaje 2 14 6" xfId="2501" xr:uid="{00000000-0005-0000-0000-00002F0A0000}"/>
    <cellStyle name="Porcentaje 2 14 7" xfId="2502" xr:uid="{00000000-0005-0000-0000-0000300A0000}"/>
    <cellStyle name="Porcentaje 2 14 8" xfId="2503" xr:uid="{00000000-0005-0000-0000-0000310A0000}"/>
    <cellStyle name="Porcentaje 2 14 9" xfId="2504" xr:uid="{00000000-0005-0000-0000-0000320A0000}"/>
    <cellStyle name="Porcentaje 2 15" xfId="2505" xr:uid="{00000000-0005-0000-0000-0000330A0000}"/>
    <cellStyle name="Porcentaje 2 15 10" xfId="2506" xr:uid="{00000000-0005-0000-0000-0000340A0000}"/>
    <cellStyle name="Porcentaje 2 15 11" xfId="2507" xr:uid="{00000000-0005-0000-0000-0000350A0000}"/>
    <cellStyle name="Porcentaje 2 15 12" xfId="2508" xr:uid="{00000000-0005-0000-0000-0000360A0000}"/>
    <cellStyle name="Porcentaje 2 15 13" xfId="2509" xr:uid="{00000000-0005-0000-0000-0000370A0000}"/>
    <cellStyle name="Porcentaje 2 15 14" xfId="2510" xr:uid="{00000000-0005-0000-0000-0000380A0000}"/>
    <cellStyle name="Porcentaje 2 15 15" xfId="2511" xr:uid="{00000000-0005-0000-0000-0000390A0000}"/>
    <cellStyle name="Porcentaje 2 15 2" xfId="2512" xr:uid="{00000000-0005-0000-0000-00003A0A0000}"/>
    <cellStyle name="Porcentaje 2 15 3" xfId="2513" xr:uid="{00000000-0005-0000-0000-00003B0A0000}"/>
    <cellStyle name="Porcentaje 2 15 4" xfId="2514" xr:uid="{00000000-0005-0000-0000-00003C0A0000}"/>
    <cellStyle name="Porcentaje 2 15 5" xfId="2515" xr:uid="{00000000-0005-0000-0000-00003D0A0000}"/>
    <cellStyle name="Porcentaje 2 15 6" xfId="2516" xr:uid="{00000000-0005-0000-0000-00003E0A0000}"/>
    <cellStyle name="Porcentaje 2 15 7" xfId="2517" xr:uid="{00000000-0005-0000-0000-00003F0A0000}"/>
    <cellStyle name="Porcentaje 2 15 8" xfId="2518" xr:uid="{00000000-0005-0000-0000-0000400A0000}"/>
    <cellStyle name="Porcentaje 2 15 9" xfId="2519" xr:uid="{00000000-0005-0000-0000-0000410A0000}"/>
    <cellStyle name="Porcentaje 2 16" xfId="2520" xr:uid="{00000000-0005-0000-0000-0000420A0000}"/>
    <cellStyle name="Porcentaje 2 16 10" xfId="2521" xr:uid="{00000000-0005-0000-0000-0000430A0000}"/>
    <cellStyle name="Porcentaje 2 16 11" xfId="2522" xr:uid="{00000000-0005-0000-0000-0000440A0000}"/>
    <cellStyle name="Porcentaje 2 16 12" xfId="2523" xr:uid="{00000000-0005-0000-0000-0000450A0000}"/>
    <cellStyle name="Porcentaje 2 16 13" xfId="2524" xr:uid="{00000000-0005-0000-0000-0000460A0000}"/>
    <cellStyle name="Porcentaje 2 16 14" xfId="2525" xr:uid="{00000000-0005-0000-0000-0000470A0000}"/>
    <cellStyle name="Porcentaje 2 16 15" xfId="2526" xr:uid="{00000000-0005-0000-0000-0000480A0000}"/>
    <cellStyle name="Porcentaje 2 16 2" xfId="2527" xr:uid="{00000000-0005-0000-0000-0000490A0000}"/>
    <cellStyle name="Porcentaje 2 16 3" xfId="2528" xr:uid="{00000000-0005-0000-0000-00004A0A0000}"/>
    <cellStyle name="Porcentaje 2 16 4" xfId="2529" xr:uid="{00000000-0005-0000-0000-00004B0A0000}"/>
    <cellStyle name="Porcentaje 2 16 5" xfId="2530" xr:uid="{00000000-0005-0000-0000-00004C0A0000}"/>
    <cellStyle name="Porcentaje 2 16 6" xfId="2531" xr:uid="{00000000-0005-0000-0000-00004D0A0000}"/>
    <cellStyle name="Porcentaje 2 16 7" xfId="2532" xr:uid="{00000000-0005-0000-0000-00004E0A0000}"/>
    <cellStyle name="Porcentaje 2 16 8" xfId="2533" xr:uid="{00000000-0005-0000-0000-00004F0A0000}"/>
    <cellStyle name="Porcentaje 2 16 9" xfId="2534" xr:uid="{00000000-0005-0000-0000-0000500A0000}"/>
    <cellStyle name="Porcentaje 2 17" xfId="2535" xr:uid="{00000000-0005-0000-0000-0000510A0000}"/>
    <cellStyle name="Porcentaje 2 17 10" xfId="2536" xr:uid="{00000000-0005-0000-0000-0000520A0000}"/>
    <cellStyle name="Porcentaje 2 17 11" xfId="2537" xr:uid="{00000000-0005-0000-0000-0000530A0000}"/>
    <cellStyle name="Porcentaje 2 17 12" xfId="2538" xr:uid="{00000000-0005-0000-0000-0000540A0000}"/>
    <cellStyle name="Porcentaje 2 17 13" xfId="2539" xr:uid="{00000000-0005-0000-0000-0000550A0000}"/>
    <cellStyle name="Porcentaje 2 17 14" xfId="2540" xr:uid="{00000000-0005-0000-0000-0000560A0000}"/>
    <cellStyle name="Porcentaje 2 17 15" xfId="2541" xr:uid="{00000000-0005-0000-0000-0000570A0000}"/>
    <cellStyle name="Porcentaje 2 17 2" xfId="2542" xr:uid="{00000000-0005-0000-0000-0000580A0000}"/>
    <cellStyle name="Porcentaje 2 17 3" xfId="2543" xr:uid="{00000000-0005-0000-0000-0000590A0000}"/>
    <cellStyle name="Porcentaje 2 17 4" xfId="2544" xr:uid="{00000000-0005-0000-0000-00005A0A0000}"/>
    <cellStyle name="Porcentaje 2 17 5" xfId="2545" xr:uid="{00000000-0005-0000-0000-00005B0A0000}"/>
    <cellStyle name="Porcentaje 2 17 6" xfId="2546" xr:uid="{00000000-0005-0000-0000-00005C0A0000}"/>
    <cellStyle name="Porcentaje 2 17 7" xfId="2547" xr:uid="{00000000-0005-0000-0000-00005D0A0000}"/>
    <cellStyle name="Porcentaje 2 17 8" xfId="2548" xr:uid="{00000000-0005-0000-0000-00005E0A0000}"/>
    <cellStyle name="Porcentaje 2 17 9" xfId="2549" xr:uid="{00000000-0005-0000-0000-00005F0A0000}"/>
    <cellStyle name="Porcentaje 2 18" xfId="2550" xr:uid="{00000000-0005-0000-0000-0000600A0000}"/>
    <cellStyle name="Porcentaje 2 19" xfId="2551" xr:uid="{00000000-0005-0000-0000-0000610A0000}"/>
    <cellStyle name="Porcentaje 2 2" xfId="2552" xr:uid="{00000000-0005-0000-0000-0000620A0000}"/>
    <cellStyle name="Porcentaje 2 2 10" xfId="2553" xr:uid="{00000000-0005-0000-0000-0000630A0000}"/>
    <cellStyle name="Porcentaje 2 2 11" xfId="2554" xr:uid="{00000000-0005-0000-0000-0000640A0000}"/>
    <cellStyle name="Porcentaje 2 2 12" xfId="2555" xr:uid="{00000000-0005-0000-0000-0000650A0000}"/>
    <cellStyle name="Porcentaje 2 2 13" xfId="2556" xr:uid="{00000000-0005-0000-0000-0000660A0000}"/>
    <cellStyle name="Porcentaje 2 2 14" xfId="2557" xr:uid="{00000000-0005-0000-0000-0000670A0000}"/>
    <cellStyle name="Porcentaje 2 2 15" xfId="2558" xr:uid="{00000000-0005-0000-0000-0000680A0000}"/>
    <cellStyle name="Porcentaje 2 2 2" xfId="2559" xr:uid="{00000000-0005-0000-0000-0000690A0000}"/>
    <cellStyle name="Porcentaje 2 2 2 2" xfId="2560" xr:uid="{00000000-0005-0000-0000-00006A0A0000}"/>
    <cellStyle name="Porcentaje 2 2 3" xfId="2561" xr:uid="{00000000-0005-0000-0000-00006B0A0000}"/>
    <cellStyle name="Porcentaje 2 2 3 2" xfId="2562" xr:uid="{00000000-0005-0000-0000-00006C0A0000}"/>
    <cellStyle name="Porcentaje 2 2 4" xfId="2563" xr:uid="{00000000-0005-0000-0000-00006D0A0000}"/>
    <cellStyle name="Porcentaje 2 2 4 2" xfId="2564" xr:uid="{00000000-0005-0000-0000-00006E0A0000}"/>
    <cellStyle name="Porcentaje 2 2 5" xfId="2565" xr:uid="{00000000-0005-0000-0000-00006F0A0000}"/>
    <cellStyle name="Porcentaje 2 2 5 2" xfId="2566" xr:uid="{00000000-0005-0000-0000-0000700A0000}"/>
    <cellStyle name="Porcentaje 2 2 6" xfId="2567" xr:uid="{00000000-0005-0000-0000-0000710A0000}"/>
    <cellStyle name="Porcentaje 2 2 7" xfId="2568" xr:uid="{00000000-0005-0000-0000-0000720A0000}"/>
    <cellStyle name="Porcentaje 2 2 8" xfId="2569" xr:uid="{00000000-0005-0000-0000-0000730A0000}"/>
    <cellStyle name="Porcentaje 2 2 9" xfId="2570" xr:uid="{00000000-0005-0000-0000-0000740A0000}"/>
    <cellStyle name="Porcentaje 2 20" xfId="2571" xr:uid="{00000000-0005-0000-0000-0000750A0000}"/>
    <cellStyle name="Porcentaje 2 21" xfId="2572" xr:uid="{00000000-0005-0000-0000-0000760A0000}"/>
    <cellStyle name="Porcentaje 2 22" xfId="2573" xr:uid="{00000000-0005-0000-0000-0000770A0000}"/>
    <cellStyle name="Porcentaje 2 23" xfId="2574" xr:uid="{00000000-0005-0000-0000-0000780A0000}"/>
    <cellStyle name="Porcentaje 2 24" xfId="2575" xr:uid="{00000000-0005-0000-0000-0000790A0000}"/>
    <cellStyle name="Porcentaje 2 25" xfId="2576" xr:uid="{00000000-0005-0000-0000-00007A0A0000}"/>
    <cellStyle name="Porcentaje 2 26" xfId="2577" xr:uid="{00000000-0005-0000-0000-00007B0A0000}"/>
    <cellStyle name="Porcentaje 2 27" xfId="2578" xr:uid="{00000000-0005-0000-0000-00007C0A0000}"/>
    <cellStyle name="Porcentaje 2 28" xfId="2579" xr:uid="{00000000-0005-0000-0000-00007D0A0000}"/>
    <cellStyle name="Porcentaje 2 29" xfId="2580" xr:uid="{00000000-0005-0000-0000-00007E0A0000}"/>
    <cellStyle name="Porcentaje 2 3" xfId="2581" xr:uid="{00000000-0005-0000-0000-00007F0A0000}"/>
    <cellStyle name="Porcentaje 2 3 10" xfId="2582" xr:uid="{00000000-0005-0000-0000-0000800A0000}"/>
    <cellStyle name="Porcentaje 2 3 11" xfId="2583" xr:uid="{00000000-0005-0000-0000-0000810A0000}"/>
    <cellStyle name="Porcentaje 2 3 12" xfId="2584" xr:uid="{00000000-0005-0000-0000-0000820A0000}"/>
    <cellStyle name="Porcentaje 2 3 13" xfId="2585" xr:uid="{00000000-0005-0000-0000-0000830A0000}"/>
    <cellStyle name="Porcentaje 2 3 14" xfId="2586" xr:uid="{00000000-0005-0000-0000-0000840A0000}"/>
    <cellStyle name="Porcentaje 2 3 15" xfId="2587" xr:uid="{00000000-0005-0000-0000-0000850A0000}"/>
    <cellStyle name="Porcentaje 2 3 2" xfId="2588" xr:uid="{00000000-0005-0000-0000-0000860A0000}"/>
    <cellStyle name="Porcentaje 2 3 2 2" xfId="2589" xr:uid="{00000000-0005-0000-0000-0000870A0000}"/>
    <cellStyle name="Porcentaje 2 3 3" xfId="2590" xr:uid="{00000000-0005-0000-0000-0000880A0000}"/>
    <cellStyle name="Porcentaje 2 3 3 2" xfId="2591" xr:uid="{00000000-0005-0000-0000-0000890A0000}"/>
    <cellStyle name="Porcentaje 2 3 4" xfId="2592" xr:uid="{00000000-0005-0000-0000-00008A0A0000}"/>
    <cellStyle name="Porcentaje 2 3 4 2" xfId="2593" xr:uid="{00000000-0005-0000-0000-00008B0A0000}"/>
    <cellStyle name="Porcentaje 2 3 5" xfId="2594" xr:uid="{00000000-0005-0000-0000-00008C0A0000}"/>
    <cellStyle name="Porcentaje 2 3 5 2" xfId="2595" xr:uid="{00000000-0005-0000-0000-00008D0A0000}"/>
    <cellStyle name="Porcentaje 2 3 6" xfId="2596" xr:uid="{00000000-0005-0000-0000-00008E0A0000}"/>
    <cellStyle name="Porcentaje 2 3 7" xfId="2597" xr:uid="{00000000-0005-0000-0000-00008F0A0000}"/>
    <cellStyle name="Porcentaje 2 3 8" xfId="2598" xr:uid="{00000000-0005-0000-0000-0000900A0000}"/>
    <cellStyle name="Porcentaje 2 3 9" xfId="2599" xr:uid="{00000000-0005-0000-0000-0000910A0000}"/>
    <cellStyle name="Porcentaje 2 30" xfId="2600" xr:uid="{00000000-0005-0000-0000-0000920A0000}"/>
    <cellStyle name="Porcentaje 2 31" xfId="2601" xr:uid="{00000000-0005-0000-0000-0000930A0000}"/>
    <cellStyle name="Porcentaje 2 32" xfId="2602" xr:uid="{00000000-0005-0000-0000-0000940A0000}"/>
    <cellStyle name="Porcentaje 2 33" xfId="2603" xr:uid="{00000000-0005-0000-0000-0000950A0000}"/>
    <cellStyle name="Porcentaje 2 34" xfId="2604" xr:uid="{00000000-0005-0000-0000-0000960A0000}"/>
    <cellStyle name="Porcentaje 2 35" xfId="2605" xr:uid="{00000000-0005-0000-0000-0000970A0000}"/>
    <cellStyle name="Porcentaje 2 36" xfId="2606" xr:uid="{00000000-0005-0000-0000-0000980A0000}"/>
    <cellStyle name="Porcentaje 2 37" xfId="2607" xr:uid="{00000000-0005-0000-0000-0000990A0000}"/>
    <cellStyle name="Porcentaje 2 38" xfId="2608" xr:uid="{00000000-0005-0000-0000-00009A0A0000}"/>
    <cellStyle name="Porcentaje 2 39" xfId="2609" xr:uid="{00000000-0005-0000-0000-00009B0A0000}"/>
    <cellStyle name="Porcentaje 2 4" xfId="2610" xr:uid="{00000000-0005-0000-0000-00009C0A0000}"/>
    <cellStyle name="Porcentaje 2 4 10" xfId="2611" xr:uid="{00000000-0005-0000-0000-00009D0A0000}"/>
    <cellStyle name="Porcentaje 2 4 11" xfId="2612" xr:uid="{00000000-0005-0000-0000-00009E0A0000}"/>
    <cellStyle name="Porcentaje 2 4 12" xfId="2613" xr:uid="{00000000-0005-0000-0000-00009F0A0000}"/>
    <cellStyle name="Porcentaje 2 4 13" xfId="2614" xr:uid="{00000000-0005-0000-0000-0000A00A0000}"/>
    <cellStyle name="Porcentaje 2 4 14" xfId="2615" xr:uid="{00000000-0005-0000-0000-0000A10A0000}"/>
    <cellStyle name="Porcentaje 2 4 15" xfId="2616" xr:uid="{00000000-0005-0000-0000-0000A20A0000}"/>
    <cellStyle name="Porcentaje 2 4 2" xfId="2617" xr:uid="{00000000-0005-0000-0000-0000A30A0000}"/>
    <cellStyle name="Porcentaje 2 4 2 2" xfId="2618" xr:uid="{00000000-0005-0000-0000-0000A40A0000}"/>
    <cellStyle name="Porcentaje 2 4 3" xfId="2619" xr:uid="{00000000-0005-0000-0000-0000A50A0000}"/>
    <cellStyle name="Porcentaje 2 4 3 2" xfId="2620" xr:uid="{00000000-0005-0000-0000-0000A60A0000}"/>
    <cellStyle name="Porcentaje 2 4 4" xfId="2621" xr:uid="{00000000-0005-0000-0000-0000A70A0000}"/>
    <cellStyle name="Porcentaje 2 4 4 2" xfId="2622" xr:uid="{00000000-0005-0000-0000-0000A80A0000}"/>
    <cellStyle name="Porcentaje 2 4 5" xfId="2623" xr:uid="{00000000-0005-0000-0000-0000A90A0000}"/>
    <cellStyle name="Porcentaje 2 4 5 2" xfId="2624" xr:uid="{00000000-0005-0000-0000-0000AA0A0000}"/>
    <cellStyle name="Porcentaje 2 4 6" xfId="2625" xr:uid="{00000000-0005-0000-0000-0000AB0A0000}"/>
    <cellStyle name="Porcentaje 2 4 7" xfId="2626" xr:uid="{00000000-0005-0000-0000-0000AC0A0000}"/>
    <cellStyle name="Porcentaje 2 4 8" xfId="2627" xr:uid="{00000000-0005-0000-0000-0000AD0A0000}"/>
    <cellStyle name="Porcentaje 2 4 9" xfId="2628" xr:uid="{00000000-0005-0000-0000-0000AE0A0000}"/>
    <cellStyle name="Porcentaje 2 40" xfId="2629" xr:uid="{00000000-0005-0000-0000-0000AF0A0000}"/>
    <cellStyle name="Porcentaje 2 41" xfId="2630" xr:uid="{00000000-0005-0000-0000-0000B00A0000}"/>
    <cellStyle name="Porcentaje 2 42" xfId="2631" xr:uid="{00000000-0005-0000-0000-0000B10A0000}"/>
    <cellStyle name="Porcentaje 2 43" xfId="2632" xr:uid="{00000000-0005-0000-0000-0000B20A0000}"/>
    <cellStyle name="Porcentaje 2 44" xfId="2633" xr:uid="{00000000-0005-0000-0000-0000B30A0000}"/>
    <cellStyle name="Porcentaje 2 45" xfId="2634" xr:uid="{00000000-0005-0000-0000-0000B40A0000}"/>
    <cellStyle name="Porcentaje 2 46" xfId="2635" xr:uid="{00000000-0005-0000-0000-0000B50A0000}"/>
    <cellStyle name="Porcentaje 2 47" xfId="2636" xr:uid="{00000000-0005-0000-0000-0000B60A0000}"/>
    <cellStyle name="Porcentaje 2 48" xfId="2637" xr:uid="{00000000-0005-0000-0000-0000B70A0000}"/>
    <cellStyle name="Porcentaje 2 49" xfId="2638" xr:uid="{00000000-0005-0000-0000-0000B80A0000}"/>
    <cellStyle name="Porcentaje 2 5" xfId="2639" xr:uid="{00000000-0005-0000-0000-0000B90A0000}"/>
    <cellStyle name="Porcentaje 2 5 10" xfId="2640" xr:uid="{00000000-0005-0000-0000-0000BA0A0000}"/>
    <cellStyle name="Porcentaje 2 5 11" xfId="2641" xr:uid="{00000000-0005-0000-0000-0000BB0A0000}"/>
    <cellStyle name="Porcentaje 2 5 12" xfId="2642" xr:uid="{00000000-0005-0000-0000-0000BC0A0000}"/>
    <cellStyle name="Porcentaje 2 5 13" xfId="2643" xr:uid="{00000000-0005-0000-0000-0000BD0A0000}"/>
    <cellStyle name="Porcentaje 2 5 14" xfId="2644" xr:uid="{00000000-0005-0000-0000-0000BE0A0000}"/>
    <cellStyle name="Porcentaje 2 5 15" xfId="2645" xr:uid="{00000000-0005-0000-0000-0000BF0A0000}"/>
    <cellStyle name="Porcentaje 2 5 2" xfId="2646" xr:uid="{00000000-0005-0000-0000-0000C00A0000}"/>
    <cellStyle name="Porcentaje 2 5 2 2" xfId="2647" xr:uid="{00000000-0005-0000-0000-0000C10A0000}"/>
    <cellStyle name="Porcentaje 2 5 3" xfId="2648" xr:uid="{00000000-0005-0000-0000-0000C20A0000}"/>
    <cellStyle name="Porcentaje 2 5 3 2" xfId="2649" xr:uid="{00000000-0005-0000-0000-0000C30A0000}"/>
    <cellStyle name="Porcentaje 2 5 4" xfId="2650" xr:uid="{00000000-0005-0000-0000-0000C40A0000}"/>
    <cellStyle name="Porcentaje 2 5 4 2" xfId="2651" xr:uid="{00000000-0005-0000-0000-0000C50A0000}"/>
    <cellStyle name="Porcentaje 2 5 5" xfId="2652" xr:uid="{00000000-0005-0000-0000-0000C60A0000}"/>
    <cellStyle name="Porcentaje 2 5 5 2" xfId="2653" xr:uid="{00000000-0005-0000-0000-0000C70A0000}"/>
    <cellStyle name="Porcentaje 2 5 6" xfId="2654" xr:uid="{00000000-0005-0000-0000-0000C80A0000}"/>
    <cellStyle name="Porcentaje 2 5 7" xfId="2655" xr:uid="{00000000-0005-0000-0000-0000C90A0000}"/>
    <cellStyle name="Porcentaje 2 5 8" xfId="2656" xr:uid="{00000000-0005-0000-0000-0000CA0A0000}"/>
    <cellStyle name="Porcentaje 2 5 9" xfId="2657" xr:uid="{00000000-0005-0000-0000-0000CB0A0000}"/>
    <cellStyle name="Porcentaje 2 50" xfId="2658" xr:uid="{00000000-0005-0000-0000-0000CC0A0000}"/>
    <cellStyle name="Porcentaje 2 51" xfId="2659" xr:uid="{00000000-0005-0000-0000-0000CD0A0000}"/>
    <cellStyle name="Porcentaje 2 52" xfId="2660" xr:uid="{00000000-0005-0000-0000-0000CE0A0000}"/>
    <cellStyle name="Porcentaje 2 6" xfId="2661" xr:uid="{00000000-0005-0000-0000-0000CF0A0000}"/>
    <cellStyle name="Porcentaje 2 6 10" xfId="2662" xr:uid="{00000000-0005-0000-0000-0000D00A0000}"/>
    <cellStyle name="Porcentaje 2 6 11" xfId="2663" xr:uid="{00000000-0005-0000-0000-0000D10A0000}"/>
    <cellStyle name="Porcentaje 2 6 12" xfId="2664" xr:uid="{00000000-0005-0000-0000-0000D20A0000}"/>
    <cellStyle name="Porcentaje 2 6 13" xfId="2665" xr:uid="{00000000-0005-0000-0000-0000D30A0000}"/>
    <cellStyle name="Porcentaje 2 6 14" xfId="2666" xr:uid="{00000000-0005-0000-0000-0000D40A0000}"/>
    <cellStyle name="Porcentaje 2 6 15" xfId="2667" xr:uid="{00000000-0005-0000-0000-0000D50A0000}"/>
    <cellStyle name="Porcentaje 2 6 16" xfId="2668" xr:uid="{00000000-0005-0000-0000-0000D60A0000}"/>
    <cellStyle name="Porcentaje 2 6 2" xfId="2669" xr:uid="{00000000-0005-0000-0000-0000D70A0000}"/>
    <cellStyle name="Porcentaje 2 6 3" xfId="2670" xr:uid="{00000000-0005-0000-0000-0000D80A0000}"/>
    <cellStyle name="Porcentaje 2 6 4" xfId="2671" xr:uid="{00000000-0005-0000-0000-0000D90A0000}"/>
    <cellStyle name="Porcentaje 2 6 5" xfId="2672" xr:uid="{00000000-0005-0000-0000-0000DA0A0000}"/>
    <cellStyle name="Porcentaje 2 6 6" xfId="2673" xr:uid="{00000000-0005-0000-0000-0000DB0A0000}"/>
    <cellStyle name="Porcentaje 2 6 7" xfId="2674" xr:uid="{00000000-0005-0000-0000-0000DC0A0000}"/>
    <cellStyle name="Porcentaje 2 6 8" xfId="2675" xr:uid="{00000000-0005-0000-0000-0000DD0A0000}"/>
    <cellStyle name="Porcentaje 2 6 9" xfId="2676" xr:uid="{00000000-0005-0000-0000-0000DE0A0000}"/>
    <cellStyle name="Porcentaje 2 7" xfId="2677" xr:uid="{00000000-0005-0000-0000-0000DF0A0000}"/>
    <cellStyle name="Porcentaje 2 7 10" xfId="2678" xr:uid="{00000000-0005-0000-0000-0000E00A0000}"/>
    <cellStyle name="Porcentaje 2 7 11" xfId="2679" xr:uid="{00000000-0005-0000-0000-0000E10A0000}"/>
    <cellStyle name="Porcentaje 2 7 12" xfId="2680" xr:uid="{00000000-0005-0000-0000-0000E20A0000}"/>
    <cellStyle name="Porcentaje 2 7 13" xfId="2681" xr:uid="{00000000-0005-0000-0000-0000E30A0000}"/>
    <cellStyle name="Porcentaje 2 7 14" xfId="2682" xr:uid="{00000000-0005-0000-0000-0000E40A0000}"/>
    <cellStyle name="Porcentaje 2 7 15" xfId="2683" xr:uid="{00000000-0005-0000-0000-0000E50A0000}"/>
    <cellStyle name="Porcentaje 2 7 16" xfId="2684" xr:uid="{00000000-0005-0000-0000-0000E60A0000}"/>
    <cellStyle name="Porcentaje 2 7 2" xfId="2685" xr:uid="{00000000-0005-0000-0000-0000E70A0000}"/>
    <cellStyle name="Porcentaje 2 7 3" xfId="2686" xr:uid="{00000000-0005-0000-0000-0000E80A0000}"/>
    <cellStyle name="Porcentaje 2 7 4" xfId="2687" xr:uid="{00000000-0005-0000-0000-0000E90A0000}"/>
    <cellStyle name="Porcentaje 2 7 5" xfId="2688" xr:uid="{00000000-0005-0000-0000-0000EA0A0000}"/>
    <cellStyle name="Porcentaje 2 7 6" xfId="2689" xr:uid="{00000000-0005-0000-0000-0000EB0A0000}"/>
    <cellStyle name="Porcentaje 2 7 7" xfId="2690" xr:uid="{00000000-0005-0000-0000-0000EC0A0000}"/>
    <cellStyle name="Porcentaje 2 7 8" xfId="2691" xr:uid="{00000000-0005-0000-0000-0000ED0A0000}"/>
    <cellStyle name="Porcentaje 2 7 9" xfId="2692" xr:uid="{00000000-0005-0000-0000-0000EE0A0000}"/>
    <cellStyle name="Porcentaje 2 8" xfId="2693" xr:uid="{00000000-0005-0000-0000-0000EF0A0000}"/>
    <cellStyle name="Porcentaje 2 8 10" xfId="2694" xr:uid="{00000000-0005-0000-0000-0000F00A0000}"/>
    <cellStyle name="Porcentaje 2 8 11" xfId="2695" xr:uid="{00000000-0005-0000-0000-0000F10A0000}"/>
    <cellStyle name="Porcentaje 2 8 12" xfId="2696" xr:uid="{00000000-0005-0000-0000-0000F20A0000}"/>
    <cellStyle name="Porcentaje 2 8 13" xfId="2697" xr:uid="{00000000-0005-0000-0000-0000F30A0000}"/>
    <cellStyle name="Porcentaje 2 8 14" xfId="2698" xr:uid="{00000000-0005-0000-0000-0000F40A0000}"/>
    <cellStyle name="Porcentaje 2 8 15" xfId="2699" xr:uid="{00000000-0005-0000-0000-0000F50A0000}"/>
    <cellStyle name="Porcentaje 2 8 2" xfId="2700" xr:uid="{00000000-0005-0000-0000-0000F60A0000}"/>
    <cellStyle name="Porcentaje 2 8 3" xfId="2701" xr:uid="{00000000-0005-0000-0000-0000F70A0000}"/>
    <cellStyle name="Porcentaje 2 8 4" xfId="2702" xr:uid="{00000000-0005-0000-0000-0000F80A0000}"/>
    <cellStyle name="Porcentaje 2 8 5" xfId="2703" xr:uid="{00000000-0005-0000-0000-0000F90A0000}"/>
    <cellStyle name="Porcentaje 2 8 6" xfId="2704" xr:uid="{00000000-0005-0000-0000-0000FA0A0000}"/>
    <cellStyle name="Porcentaje 2 8 7" xfId="2705" xr:uid="{00000000-0005-0000-0000-0000FB0A0000}"/>
    <cellStyle name="Porcentaje 2 8 8" xfId="2706" xr:uid="{00000000-0005-0000-0000-0000FC0A0000}"/>
    <cellStyle name="Porcentaje 2 8 9" xfId="2707" xr:uid="{00000000-0005-0000-0000-0000FD0A0000}"/>
    <cellStyle name="Porcentaje 2 9" xfId="2708" xr:uid="{00000000-0005-0000-0000-0000FE0A0000}"/>
    <cellStyle name="Porcentaje 2 9 10" xfId="2709" xr:uid="{00000000-0005-0000-0000-0000FF0A0000}"/>
    <cellStyle name="Porcentaje 2 9 11" xfId="2710" xr:uid="{00000000-0005-0000-0000-0000000B0000}"/>
    <cellStyle name="Porcentaje 2 9 12" xfId="2711" xr:uid="{00000000-0005-0000-0000-0000010B0000}"/>
    <cellStyle name="Porcentaje 2 9 13" xfId="2712" xr:uid="{00000000-0005-0000-0000-0000020B0000}"/>
    <cellStyle name="Porcentaje 2 9 14" xfId="2713" xr:uid="{00000000-0005-0000-0000-0000030B0000}"/>
    <cellStyle name="Porcentaje 2 9 15" xfId="2714" xr:uid="{00000000-0005-0000-0000-0000040B0000}"/>
    <cellStyle name="Porcentaje 2 9 2" xfId="2715" xr:uid="{00000000-0005-0000-0000-0000050B0000}"/>
    <cellStyle name="Porcentaje 2 9 3" xfId="2716" xr:uid="{00000000-0005-0000-0000-0000060B0000}"/>
    <cellStyle name="Porcentaje 2 9 4" xfId="2717" xr:uid="{00000000-0005-0000-0000-0000070B0000}"/>
    <cellStyle name="Porcentaje 2 9 5" xfId="2718" xr:uid="{00000000-0005-0000-0000-0000080B0000}"/>
    <cellStyle name="Porcentaje 2 9 6" xfId="2719" xr:uid="{00000000-0005-0000-0000-0000090B0000}"/>
    <cellStyle name="Porcentaje 2 9 7" xfId="2720" xr:uid="{00000000-0005-0000-0000-00000A0B0000}"/>
    <cellStyle name="Porcentaje 2 9 8" xfId="2721" xr:uid="{00000000-0005-0000-0000-00000B0B0000}"/>
    <cellStyle name="Porcentaje 2 9 9" xfId="2722" xr:uid="{00000000-0005-0000-0000-00000C0B0000}"/>
    <cellStyle name="Porcentaje 3" xfId="2723" xr:uid="{00000000-0005-0000-0000-00000D0B0000}"/>
    <cellStyle name="Porcentaje 4" xfId="2724" xr:uid="{00000000-0005-0000-0000-00000E0B0000}"/>
    <cellStyle name="Porcentaje 5" xfId="2843" xr:uid="{00000000-0005-0000-0000-00000F0B0000}"/>
    <cellStyle name="Porcentual 2" xfId="2725" xr:uid="{00000000-0005-0000-0000-0000100B0000}"/>
    <cellStyle name="Porcentual 2 2" xfId="2726" xr:uid="{00000000-0005-0000-0000-0000110B0000}"/>
    <cellStyle name="Porcentual 3" xfId="2727" xr:uid="{00000000-0005-0000-0000-0000120B0000}"/>
    <cellStyle name="Porcentual 4" xfId="2728" xr:uid="{00000000-0005-0000-0000-0000130B0000}"/>
    <cellStyle name="pricing" xfId="2729" xr:uid="{00000000-0005-0000-0000-0000140B0000}"/>
    <cellStyle name="PSChar" xfId="2730" xr:uid="{00000000-0005-0000-0000-0000150B0000}"/>
    <cellStyle name="PSHeading" xfId="2731" xr:uid="{00000000-0005-0000-0000-0000160B0000}"/>
    <cellStyle name="RevList" xfId="2732" xr:uid="{00000000-0005-0000-0000-0000170B0000}"/>
    <cellStyle name="Salida 2" xfId="2733" xr:uid="{00000000-0005-0000-0000-0000190B0000}"/>
    <cellStyle name="Salida 2 2" xfId="2734" xr:uid="{00000000-0005-0000-0000-00001A0B0000}"/>
    <cellStyle name="Salida 2 2 2" xfId="2835" xr:uid="{00000000-0005-0000-0000-00001B0B0000}"/>
    <cellStyle name="Salida 2 2 3" xfId="2839" xr:uid="{00000000-0005-0000-0000-00001C0B0000}"/>
    <cellStyle name="Salida 2 3" xfId="2735" xr:uid="{00000000-0005-0000-0000-00001D0B0000}"/>
    <cellStyle name="Salida 2 4" xfId="2834" xr:uid="{00000000-0005-0000-0000-00001E0B0000}"/>
    <cellStyle name="Salida 2 5" xfId="2838" xr:uid="{00000000-0005-0000-0000-00001F0B0000}"/>
    <cellStyle name="Subtotal" xfId="2736" xr:uid="{00000000-0005-0000-0000-0000200B0000}"/>
    <cellStyle name="Subtotal 2" xfId="2737" xr:uid="{00000000-0005-0000-0000-0000210B0000}"/>
    <cellStyle name="Texto de advertencia" xfId="2765" builtinId="11" customBuiltin="1"/>
    <cellStyle name="Texto de advertencia 2" xfId="2738" xr:uid="{00000000-0005-0000-0000-0000230B0000}"/>
    <cellStyle name="Texto de advertencia 2 2" xfId="2739" xr:uid="{00000000-0005-0000-0000-0000240B0000}"/>
    <cellStyle name="Texto de advertencia 2 3" xfId="2740" xr:uid="{00000000-0005-0000-0000-0000250B0000}"/>
    <cellStyle name="Texto explicativo 2" xfId="2741" xr:uid="{00000000-0005-0000-0000-0000270B0000}"/>
    <cellStyle name="Texto explicativo 2 2" xfId="2742" xr:uid="{00000000-0005-0000-0000-0000280B0000}"/>
    <cellStyle name="Texto explicativo 2 3" xfId="2743" xr:uid="{00000000-0005-0000-0000-0000290B0000}"/>
    <cellStyle name="Title" xfId="2744" xr:uid="{00000000-0005-0000-0000-00002A0B0000}"/>
    <cellStyle name="Título 1 2" xfId="2746" xr:uid="{00000000-0005-0000-0000-00002B0B0000}"/>
    <cellStyle name="Título 1 2 2" xfId="2747" xr:uid="{00000000-0005-0000-0000-00002C0B0000}"/>
    <cellStyle name="Título 1 2 3" xfId="2748" xr:uid="{00000000-0005-0000-0000-00002D0B0000}"/>
    <cellStyle name="Título 2 2" xfId="2749" xr:uid="{00000000-0005-0000-0000-00002F0B0000}"/>
    <cellStyle name="Título 2 2 2" xfId="2750" xr:uid="{00000000-0005-0000-0000-0000300B0000}"/>
    <cellStyle name="Título 2 2 3" xfId="2751" xr:uid="{00000000-0005-0000-0000-0000310B0000}"/>
    <cellStyle name="Título 3 2" xfId="2752" xr:uid="{00000000-0005-0000-0000-0000330B0000}"/>
    <cellStyle name="Título 3 2 2" xfId="2753" xr:uid="{00000000-0005-0000-0000-0000340B0000}"/>
    <cellStyle name="Título 3 2 3" xfId="2754" xr:uid="{00000000-0005-0000-0000-0000350B0000}"/>
    <cellStyle name="Título 4" xfId="2755" xr:uid="{00000000-0005-0000-0000-0000360B0000}"/>
    <cellStyle name="Título 4 2" xfId="2756" xr:uid="{00000000-0005-0000-0000-0000370B0000}"/>
    <cellStyle name="Título 4 3" xfId="2757" xr:uid="{00000000-0005-0000-0000-0000380B0000}"/>
    <cellStyle name="Título 5" xfId="2745" xr:uid="{00000000-0005-0000-0000-0000390B0000}"/>
    <cellStyle name="Título de hoja" xfId="2758" xr:uid="{00000000-0005-0000-0000-00003A0B0000}"/>
    <cellStyle name="Título de hoja 2" xfId="2759" xr:uid="{00000000-0005-0000-0000-00003B0B0000}"/>
    <cellStyle name="Título de hoja 3" xfId="2760" xr:uid="{00000000-0005-0000-0000-00003C0B0000}"/>
    <cellStyle name="Título de hoja 3 2" xfId="2761" xr:uid="{00000000-0005-0000-0000-00003D0B0000}"/>
    <cellStyle name="Total" xfId="9" builtinId="25" customBuiltin="1"/>
    <cellStyle name="Total 2" xfId="2762" xr:uid="{00000000-0005-0000-0000-00003F0B0000}"/>
    <cellStyle name="Total 2 2" xfId="2763" xr:uid="{00000000-0005-0000-0000-0000400B0000}"/>
    <cellStyle name="Total 2 2 2" xfId="2837" xr:uid="{00000000-0005-0000-0000-0000410B0000}"/>
    <cellStyle name="Total 2 2 3" xfId="2841" xr:uid="{00000000-0005-0000-0000-0000420B0000}"/>
    <cellStyle name="Total 2 3" xfId="2836" xr:uid="{00000000-0005-0000-0000-0000430B0000}"/>
    <cellStyle name="Total 2 4" xfId="2840" xr:uid="{00000000-0005-0000-0000-0000440B0000}"/>
    <cellStyle name="Total 3" xfId="2764" xr:uid="{00000000-0005-0000-0000-0000450B0000}"/>
  </cellStyles>
  <dxfs count="1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95" formatCode="_(* #,##0_);_(* \(#,##0\);_(* &quot;-&quot;??_);_(@_)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5" formatCode="_(* #,##0_);_(* \(#,##0\);_(* &quot;-&quot;??_);_(@_)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2" formatCode="#,##0_ ;\-#,##0\ 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theme="2" tint="-0.249977111117893"/>
        </right>
        <top/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7" formatCode="#,##0.00_ ;\-#,##0.00\ 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7" formatCode="#,##0.00_ ;\-#,##0.00\ 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7" formatCode="#,##0.00_ ;\-#,##0.00\ 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7" formatCode="#,##0.00_ ;\-#,##0.00\ 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theme="2" tint="-0.249977111117893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7" formatCode="#,##0.00_ ;\-#,##0.00\ 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85" formatCode="_ * #,##0_ ;_ * \-#,##0_ ;_ * &quot;-&quot;??_ ;_ @_ 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7" formatCode="#,##0.00_ ;\-#,##0.00\ 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7" formatCode="#,##0.00_ ;\-#,##0.00\ 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7" formatCode="#,##0.00_ ;\-#,##0.00\ 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7" formatCode="#,##0.00_ ;\-#,##0.00\ 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2" formatCode="#,##0_ ;\-#,##0\ 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7" formatCode="#,##0.00_ ;\-#,##0.00\ 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7" formatCode="#,##0.00_ ;\-#,##0.00\ 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theme="2" tint="-0.249977111117893"/>
        </left>
        <right/>
        <top/>
        <bottom/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3" formatCode="##0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3" formatCode="##0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theme="2" tint="-0.249977111117893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right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85" formatCode="_ * #,##0_ ;_ * \-#,##0_ ;_ * &quot;-&quot;??_ ;_ @_ 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theme="2" tint="-0.249977111117893"/>
        </right>
        <top/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6" formatCode="0.00%_ ;\-0.00%\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6" formatCode="0.00%_ ;\-0.00%\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6" formatCode="0.00%_ ;\-0.00%\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>
        <left/>
        <right style="thin">
          <color theme="2" tint="-0.249977111117893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6" formatCode="0.00%_ ;\-0.00%\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6" formatCode="0.00%_ ;\-0.00%\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6" formatCode="0.00%_ ;\-0.00%\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6" formatCode="0.00%_ ;\-0.00%\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theme="2" tint="-0.249977111117893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88" formatCode="0_ ;\-0\ 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3" formatCode="##0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theme="2" tint="-0.249977111117893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0"/>
        </patternFill>
      </fill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85" formatCode="_ * #,##0_ ;_ * \-#,##0_ ;_ * &quot;-&quot;??_ ;_ @_ "/>
      <fill>
        <patternFill patternType="solid">
          <fgColor indexed="64"/>
          <bgColor theme="0"/>
        </patternFill>
      </fill>
      <alignment horizontal="right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85" formatCode="_ * #,##0_ ;_ * \-#,##0_ ;_ * &quot;-&quot;??_ ;_ @_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2" formatCode="#,##0_ ;\-#,##0\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>
        <left/>
        <right style="thin">
          <color theme="2" tint="-0.249977111117893"/>
        </right>
        <top/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2" formatCode="#,##0_ ;\-#,##0\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2" formatCode="#,##0_ ;\-#,##0\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2" formatCode="#,##0_ ;\-#,##0\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2" formatCode="#,##0_ ;\-#,##0\ 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theme="2" tint="-0.249977111117893"/>
        </left>
        <right/>
        <top/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88" formatCode="0_ ;\-0\ 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3" formatCode="##0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theme="2" tint="-0.249977111117893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8" formatCode="0_ ;\-0\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8" formatCode="0_ ;\-0\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87" formatCode="_ * #,##0.0_ ;_ * \-#,##0.0_ ;_ * &quot;-&quot;??_ ;_ @_ 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5" formatCode="_ * #,##0_ ;_ * \-#,##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86" formatCode="dd/mm/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top style="thin">
          <color rgb="FF4F81BD"/>
        </top>
        <bottom style="thin">
          <color rgb="FF4F81BD"/>
        </bottom>
      </border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9D9D9"/>
          <bgColor rgb="FFD9D9D9"/>
        </patternFill>
      </fill>
      <border>
        <left style="thin">
          <color rgb="FFBFBFBF"/>
        </left>
        <right style="thin">
          <color rgb="FFBFBFBF"/>
        </right>
      </border>
    </dxf>
    <dxf>
      <fill>
        <patternFill patternType="solid">
          <fgColor rgb="FFD9D9D9"/>
          <bgColor rgb="FFD9D9D9"/>
        </patternFill>
      </fill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top style="thin">
          <color rgb="FF95B3D7"/>
        </top>
      </border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top style="thin">
          <color rgb="FF4F81BD"/>
        </top>
        <bottom style="thin">
          <color rgb="FF4F81BD"/>
        </bottom>
      </border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9D9D9"/>
          <bgColor rgb="FFD9D9D9"/>
        </patternFill>
      </fill>
      <border>
        <left style="thin">
          <color rgb="FFBFBFBF"/>
        </left>
        <right style="thin">
          <color rgb="FFBFBFBF"/>
        </right>
      </border>
    </dxf>
    <dxf>
      <fill>
        <patternFill patternType="solid">
          <fgColor rgb="FFD9D9D9"/>
          <bgColor rgb="FFD9D9D9"/>
        </patternFill>
      </fill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top style="thin">
          <color rgb="FF95B3D7"/>
        </top>
      </border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top style="thin">
          <color rgb="FF4F81BD"/>
        </top>
        <bottom style="thin">
          <color rgb="FF4F81BD"/>
        </bottom>
      </border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9D9D9"/>
          <bgColor rgb="FFD9D9D9"/>
        </patternFill>
      </fill>
      <border>
        <left style="thin">
          <color rgb="FFBFBFBF"/>
        </left>
        <right style="thin">
          <color rgb="FFBFBFBF"/>
        </right>
      </border>
    </dxf>
    <dxf>
      <fill>
        <patternFill patternType="solid">
          <fgColor rgb="FFD9D9D9"/>
          <bgColor rgb="FFD9D9D9"/>
        </patternFill>
      </fill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top style="thin">
          <color rgb="FF95B3D7"/>
        </top>
      </border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top style="thin">
          <color rgb="FF4F81BD"/>
        </top>
        <bottom style="thin">
          <color rgb="FF4F81BD"/>
        </bottom>
      </border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9D9D9"/>
          <bgColor rgb="FFD9D9D9"/>
        </patternFill>
      </fill>
      <border>
        <left style="thin">
          <color rgb="FFBFBFBF"/>
        </left>
        <right style="thin">
          <color rgb="FFBFBFBF"/>
        </right>
      </border>
    </dxf>
    <dxf>
      <fill>
        <patternFill patternType="solid">
          <fgColor rgb="FFD9D9D9"/>
          <bgColor rgb="FFD9D9D9"/>
        </patternFill>
      </fill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top style="thin">
          <color rgb="FF95B3D7"/>
        </top>
      </border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</dxfs>
  <tableStyles count="5" defaultTableStyle="Estilo de tabla 1" defaultPivotStyle="PivotStyleLight16">
    <tableStyle name="Estilo de tabla 1" pivot="0" count="0" xr9:uid="{00000000-0011-0000-FFFF-FFFF00000000}"/>
    <tableStyle name="PivotStyleLight16 2" table="0" count="11" xr9:uid="{00000000-0011-0000-FFFF-FFFF01000000}">
      <tableStyleElement type="headerRow" dxfId="149"/>
      <tableStyleElement type="totalRow" dxfId="148"/>
      <tableStyleElement type="firstRowStripe" dxfId="147"/>
      <tableStyleElement type="firstColumnStripe" dxfId="146"/>
      <tableStyleElement type="firstSubtotalColumn" dxfId="145"/>
      <tableStyleElement type="firstSubtotalRow" dxfId="144"/>
      <tableStyleElement type="secondSubtotalRow" dxfId="143"/>
      <tableStyleElement type="firstRowSubheading" dxfId="142"/>
      <tableStyleElement type="secondRowSubheading" dxfId="141"/>
      <tableStyleElement type="pageFieldLabels" dxfId="140"/>
      <tableStyleElement type="pageFieldValues" dxfId="139"/>
    </tableStyle>
    <tableStyle name="PivotStyleLight16 3" table="0" count="11" xr9:uid="{00000000-0011-0000-FFFF-FFFF02000000}">
      <tableStyleElement type="headerRow" dxfId="138"/>
      <tableStyleElement type="totalRow" dxfId="137"/>
      <tableStyleElement type="firstRowStripe" dxfId="136"/>
      <tableStyleElement type="firstColumnStripe" dxfId="135"/>
      <tableStyleElement type="firstSubtotalColumn" dxfId="134"/>
      <tableStyleElement type="firstSubtotalRow" dxfId="133"/>
      <tableStyleElement type="secondSubtotalRow" dxfId="132"/>
      <tableStyleElement type="firstRowSubheading" dxfId="131"/>
      <tableStyleElement type="secondRowSubheading" dxfId="130"/>
      <tableStyleElement type="pageFieldLabels" dxfId="129"/>
      <tableStyleElement type="pageFieldValues" dxfId="128"/>
    </tableStyle>
    <tableStyle name="PivotStyleLight16 4" table="0" count="11" xr9:uid="{00000000-0011-0000-FFFF-FFFF03000000}">
      <tableStyleElement type="headerRow" dxfId="127"/>
      <tableStyleElement type="totalRow" dxfId="126"/>
      <tableStyleElement type="firstRowStripe" dxfId="125"/>
      <tableStyleElement type="firstColumnStripe" dxfId="124"/>
      <tableStyleElement type="firstSubtotalColumn" dxfId="123"/>
      <tableStyleElement type="firstSubtotalRow" dxfId="122"/>
      <tableStyleElement type="secondSubtotalRow" dxfId="121"/>
      <tableStyleElement type="firstRowSubheading" dxfId="120"/>
      <tableStyleElement type="secondRowSubheading" dxfId="119"/>
      <tableStyleElement type="pageFieldLabels" dxfId="118"/>
      <tableStyleElement type="pageFieldValues" dxfId="117"/>
    </tableStyle>
    <tableStyle name="PivotStyleLight16 5" table="0" count="11" xr9:uid="{00000000-0011-0000-FFFF-FFFF04000000}">
      <tableStyleElement type="headerRow" dxfId="116"/>
      <tableStyleElement type="totalRow" dxfId="115"/>
      <tableStyleElement type="firstRowStripe" dxfId="114"/>
      <tableStyleElement type="firstColumnStripe" dxfId="113"/>
      <tableStyleElement type="firstSubtotalColumn" dxfId="112"/>
      <tableStyleElement type="firstSubtotalRow" dxfId="111"/>
      <tableStyleElement type="secondSubtotalRow" dxfId="110"/>
      <tableStyleElement type="firstRowSubheading" dxfId="109"/>
      <tableStyleElement type="secondRowSubheading" dxfId="108"/>
      <tableStyleElement type="pageFieldLabels" dxfId="107"/>
      <tableStyleElement type="pageFieldValues" dxfId="106"/>
    </tableStyle>
  </tableStyles>
  <colors>
    <mruColors>
      <color rgb="FFD9D9D9"/>
      <color rgb="FFFFCE33"/>
      <color rgb="FFFA2E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4</xdr:row>
      <xdr:rowOff>47625</xdr:rowOff>
    </xdr:from>
    <xdr:to>
      <xdr:col>7</xdr:col>
      <xdr:colOff>282517</xdr:colOff>
      <xdr:row>6</xdr:row>
      <xdr:rowOff>57150</xdr:rowOff>
    </xdr:to>
    <xdr:sp macro="" textlink="">
      <xdr:nvSpPr>
        <xdr:cNvPr id="1044" name="Grabar" descr="Grabar Datos" hidden="1">
          <a:extLst>
            <a:ext uri="{63B3BB69-23CF-44E3-9099-C40C66FF867C}">
              <a14:compatExt xmlns:a14="http://schemas.microsoft.com/office/drawing/2010/main" spid="_x0000_s1044"/>
            </a:ex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6</xdr:col>
      <xdr:colOff>352425</xdr:colOff>
      <xdr:row>4</xdr:row>
      <xdr:rowOff>9525</xdr:rowOff>
    </xdr:from>
    <xdr:to>
      <xdr:col>6</xdr:col>
      <xdr:colOff>609600</xdr:colOff>
      <xdr:row>4</xdr:row>
      <xdr:rowOff>266700</xdr:rowOff>
    </xdr:to>
    <xdr:sp macro="" textlink="">
      <xdr:nvSpPr>
        <xdr:cNvPr id="1025" name="BtnRegistro_Carga" descr="Grabar Datos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65314</xdr:colOff>
          <xdr:row>4</xdr:row>
          <xdr:rowOff>10886</xdr:rowOff>
        </xdr:from>
        <xdr:to>
          <xdr:col>6</xdr:col>
          <xdr:colOff>898071</xdr:colOff>
          <xdr:row>4</xdr:row>
          <xdr:rowOff>250371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vlimdpd0 GESMINSURPRO tb_kop_cargaAuxiliar_archivo" backgroundRefresh="0" growShrinkType="overwriteClear" adjustColumnWidth="0" connectionId="1" xr16:uid="{00000000-0016-0000-0100-000000000000}" autoFormatId="16" applyNumberFormats="0" applyBorderFormats="0" applyFontFormats="0" applyPatternFormats="0" applyAlignmentFormats="0" applyWidthHeightFormats="0">
  <queryTableRefresh nextId="28">
    <queryTableFields count="23">
      <queryTableField id="1" name="Indicador" tableColumnId="85"/>
      <queryTableField id="2" name="Sub Indicador" tableColumnId="86"/>
      <queryTableField id="3" name="Descripción" tableColumnId="87"/>
      <queryTableField id="4" name="Und." tableColumnId="88"/>
      <queryTableField id="5" name="Real" tableColumnId="89"/>
      <queryTableField id="6" name="Frct" tableColumnId="90"/>
      <queryTableField id="7" name="Var%" tableColumnId="91"/>
      <queryTableField id="8" name="C" tableColumnId="92"/>
      <queryTableField id="9" name="Real." tableColumnId="93"/>
      <queryTableField id="10" name="Frct." tableColumnId="94"/>
      <queryTableField id="11" name="Var.%" tableColumnId="95"/>
      <queryTableField id="12" name="C." tableColumnId="96"/>
      <queryTableField id="13" name="Frct..." tableColumnId="97"/>
      <queryTableField id="16" name="Con" tableColumnId="1"/>
      <queryTableField id="17" name="Imp" tableColumnId="4"/>
      <queryTableField id="18" name="Dec" tableColumnId="3"/>
      <queryTableField id="14" name="Explicación" tableColumnId="98"/>
      <queryTableField id="15" name="Acción" tableColumnId="99"/>
      <queryTableField id="19" name="Enlace" tableColumnId="103"/>
      <queryTableField id="20" name="Tipo" tableColumnId="104"/>
      <queryTableField id="21" name="Acum" tableColumnId="105"/>
      <queryTableField id="26" name="Cambios" tableColumnId="2"/>
      <queryTableField id="27" name="enlace_comentario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vlimdpd0 GESMINSURPRO tb_kop_cargaAuxiliar_archivo_1" backgroundRefresh="0" growShrinkType="overwriteClear" adjustColumnWidth="0" connectionId="3" xr16:uid="{00000000-0016-0000-0200-000001000000}" autoFormatId="16" applyNumberFormats="0" applyBorderFormats="0" applyFontFormats="0" applyPatternFormats="0" applyAlignmentFormats="0" applyWidthHeightFormats="0">
  <queryTableRefresh nextId="32">
    <queryTableFields count="27">
      <queryTableField id="1" name="Indicador" tableColumnId="26"/>
      <queryTableField id="2" name="Sub Indicador" tableColumnId="27"/>
      <queryTableField id="3" name="Descripción" tableColumnId="28"/>
      <queryTableField id="4" name="Und." tableColumnId="29"/>
      <queryTableField id="5" name="Real" tableColumnId="30"/>
      <queryTableField id="6" name="Frct" tableColumnId="31"/>
      <queryTableField id="7" name="Var%" tableColumnId="32"/>
      <queryTableField id="8" name="C" tableColumnId="33"/>
      <queryTableField id="9" name="Real." tableColumnId="34"/>
      <queryTableField id="10" name="Frct." tableColumnId="35"/>
      <queryTableField id="11" name="Var.%" tableColumnId="36"/>
      <queryTableField id="12" name="C." tableColumnId="37"/>
      <queryTableField id="13" name="Frct..." tableColumnId="38"/>
      <queryTableField id="14" name="Real.." tableColumnId="39"/>
      <queryTableField id="15" name="Frct.." tableColumnId="40"/>
      <queryTableField id="16" name="Var..%" tableColumnId="41"/>
      <queryTableField id="17" name="C.." tableColumnId="42"/>
      <queryTableField id="20" name="Con" tableColumnId="53"/>
      <queryTableField id="21" name="Imp" tableColumnId="52"/>
      <queryTableField id="22" name="Dec" tableColumnId="51"/>
      <queryTableField id="18" name="Explicación" tableColumnId="43"/>
      <queryTableField id="19" name="Acción" tableColumnId="44"/>
      <queryTableField id="23" name="Enlace" tableColumnId="48"/>
      <queryTableField id="24" name="Tipo" tableColumnId="49"/>
      <queryTableField id="25" name="Acum" tableColumnId="50"/>
      <queryTableField id="30" name="Cambios" tableColumnId="1"/>
      <queryTableField id="31" name="enlace_comentario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vlimdpd0 GESMINSURPRO tb_kop_cargaAuxiliar_archivo" backgroundRefresh="0" growShrinkType="overwriteClear" adjustColumnWidth="0" connectionId="2" xr16:uid="{00000000-0016-0000-0300-000002000000}" autoFormatId="16" applyNumberFormats="0" applyBorderFormats="0" applyFontFormats="0" applyPatternFormats="0" applyAlignmentFormats="0" applyWidthHeightFormats="0">
  <queryTableRefresh nextId="51">
    <queryTableFields count="37">
      <queryTableField id="1" name="Indicador" tableColumnId="29"/>
      <queryTableField id="50" dataBound="0" tableColumnId="10"/>
      <queryTableField id="3" name="Descripción" tableColumnId="31"/>
      <queryTableField id="4" name="Und." tableColumnId="32"/>
      <queryTableField id="5" name="Real" tableColumnId="33"/>
      <queryTableField id="6" name="Frct" tableColumnId="34"/>
      <queryTableField id="7" name="Var%" tableColumnId="35"/>
      <queryTableField id="8" name="C" tableColumnId="36"/>
      <queryTableField id="9" name="Ppto" tableColumnId="37"/>
      <queryTableField id="10" name="Var P%" tableColumnId="38"/>
      <queryTableField id="11" name="C P" tableColumnId="39"/>
      <queryTableField id="12" name="Real." tableColumnId="40"/>
      <queryTableField id="13" name="Frct." tableColumnId="41"/>
      <queryTableField id="14" name="Var.%" tableColumnId="42"/>
      <queryTableField id="15" name="C." tableColumnId="43"/>
      <queryTableField id="16" name="Ppto." tableColumnId="44"/>
      <queryTableField id="17" name="Var. P%" tableColumnId="45"/>
      <queryTableField id="18" name="C. P" tableColumnId="46"/>
      <queryTableField id="19" name="Frct..." tableColumnId="47"/>
      <queryTableField id="20" name="Ppto..." tableColumnId="48"/>
      <queryTableField id="47" name="Real.. " tableColumnId="3"/>
      <queryTableField id="40" name="Frct.." tableColumnId="2"/>
      <queryTableField id="41" name="Var..%" tableColumnId="1"/>
      <queryTableField id="42" name="C.." tableColumnId="4"/>
      <queryTableField id="43" name="Ppto.." tableColumnId="7"/>
      <queryTableField id="44" name="Var.. P%" tableColumnId="6"/>
      <queryTableField id="45" name="C.. P" tableColumnId="5"/>
      <queryTableField id="23" name="Con" tableColumnId="59"/>
      <queryTableField id="24" name="Imp" tableColumnId="58"/>
      <queryTableField id="25" name="Dec" tableColumnId="57"/>
      <queryTableField id="21" name="Explicación" tableColumnId="49"/>
      <queryTableField id="22" name="Acción" tableColumnId="50"/>
      <queryTableField id="26" name="Enlace" tableColumnId="54"/>
      <queryTableField id="27" name="Tipo" tableColumnId="55"/>
      <queryTableField id="28" name="Acum" tableColumnId="56"/>
      <queryTableField id="48" name="Cambios" tableColumnId="8"/>
      <queryTableField id="49" name="enlace_comentario" tableColumnId="9"/>
    </queryTableFields>
    <queryTableDeletedFields count="1">
      <deletedField name="Sub Indicador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a_Registro_Informacion" displayName="Tabla_Registro_Informacion" ref="A4:H5" totalsRowShown="0" headerRowDxfId="105" dataDxfId="103" headerRowBorderDxfId="104" tableBorderDxfId="102" totalsRowBorderDxfId="101">
  <tableColumns count="8">
    <tableColumn id="1" xr3:uid="{00000000-0010-0000-0000-000001000000}" name="Fecha Operación" dataDxfId="100"/>
    <tableColumn id="3" xr3:uid="{00000000-0010-0000-0000-000003000000}" name="Unidad" dataDxfId="99"/>
    <tableColumn id="4" xr3:uid="{00000000-0010-0000-0000-000004000000}" name="Formato" dataDxfId="98"/>
    <tableColumn id="5" xr3:uid="{00000000-0010-0000-0000-000005000000}" name="Versión" dataDxfId="97"/>
    <tableColumn id="2" xr3:uid="{00000000-0010-0000-0000-000002000000}" name="Frecuencia" dataDxfId="96"/>
    <tableColumn id="6" xr3:uid="{00000000-0010-0000-0000-000006000000}" name="cod_rango_fecha" dataDxfId="95"/>
    <tableColumn id="10" xr3:uid="{00000000-0010-0000-0000-00000A000000}" name="Carga" dataDxfId="94"/>
    <tableColumn id="7" xr3:uid="{765F89D3-FEBE-40E9-B992-55592BC7059E}" name="Destino" dataDxfId="93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_TCD" displayName="Tabla_TCD" ref="B7:X30" tableType="queryTable" totalsRowShown="0" headerRowDxfId="92" dataDxfId="91">
  <tableColumns count="23">
    <tableColumn id="85" xr3:uid="{00000000-0010-0000-0100-000055000000}" uniqueName="85" name="Indicador" queryTableFieldId="1" dataDxfId="90" dataCellStyle="Millares"/>
    <tableColumn id="86" xr3:uid="{00000000-0010-0000-0100-000056000000}" uniqueName="86" name="Sub Indicador" queryTableFieldId="2" dataDxfId="89" dataCellStyle="Millares"/>
    <tableColumn id="87" xr3:uid="{00000000-0010-0000-0100-000057000000}" uniqueName="87" name="Descripción" queryTableFieldId="3" dataDxfId="88" dataCellStyle="Millares"/>
    <tableColumn id="88" xr3:uid="{00000000-0010-0000-0100-000058000000}" uniqueName="88" name="Und." queryTableFieldId="4" dataDxfId="87" dataCellStyle="Millares"/>
    <tableColumn id="89" xr3:uid="{00000000-0010-0000-0100-000059000000}" uniqueName="89" name="Real" queryTableFieldId="5" dataDxfId="86" dataCellStyle="Millares"/>
    <tableColumn id="90" xr3:uid="{00000000-0010-0000-0100-00005A000000}" uniqueName="90" name="Frct" queryTableFieldId="6" dataDxfId="85" dataCellStyle="Millares"/>
    <tableColumn id="91" xr3:uid="{00000000-0010-0000-0100-00005B000000}" uniqueName="91" name="Var%" queryTableFieldId="7" dataDxfId="84" dataCellStyle="Porcentaje"/>
    <tableColumn id="92" xr3:uid="{00000000-0010-0000-0100-00005C000000}" uniqueName="92" name="C" queryTableFieldId="8" dataDxfId="83" dataCellStyle="Porcentaje"/>
    <tableColumn id="93" xr3:uid="{00000000-0010-0000-0100-00005D000000}" uniqueName="93" name="Real." queryTableFieldId="9" dataDxfId="82" dataCellStyle="Millares"/>
    <tableColumn id="94" xr3:uid="{00000000-0010-0000-0100-00005E000000}" uniqueName="94" name="Frct." queryTableFieldId="10" dataDxfId="81" dataCellStyle="Millares"/>
    <tableColumn id="95" xr3:uid="{00000000-0010-0000-0100-00005F000000}" uniqueName="95" name="Var.%" queryTableFieldId="11" dataDxfId="80" dataCellStyle="Porcentaje"/>
    <tableColumn id="96" xr3:uid="{00000000-0010-0000-0100-000060000000}" uniqueName="96" name="C." queryTableFieldId="12" dataDxfId="79" dataCellStyle="Porcentaje"/>
    <tableColumn id="97" xr3:uid="{00000000-0010-0000-0100-000061000000}" uniqueName="97" name="Frct..." queryTableFieldId="13" dataDxfId="78" dataCellStyle="Millares"/>
    <tableColumn id="1" xr3:uid="{00000000-0010-0000-0100-000001000000}" uniqueName="1" name="Con" queryTableFieldId="16" dataDxfId="77" dataCellStyle="Millares"/>
    <tableColumn id="4" xr3:uid="{00000000-0010-0000-0100-000004000000}" uniqueName="4" name="Imp" queryTableFieldId="17" dataDxfId="76" dataCellStyle="Millares"/>
    <tableColumn id="3" xr3:uid="{00000000-0010-0000-0100-000003000000}" uniqueName="3" name="Dec" queryTableFieldId="18" dataDxfId="75" dataCellStyle="Millares"/>
    <tableColumn id="98" xr3:uid="{00000000-0010-0000-0100-000062000000}" uniqueName="98" name="Explicación" queryTableFieldId="14" dataDxfId="74" dataCellStyle="Millares"/>
    <tableColumn id="99" xr3:uid="{00000000-0010-0000-0100-000063000000}" uniqueName="99" name="Acción" queryTableFieldId="15" dataDxfId="73" dataCellStyle="Millares"/>
    <tableColumn id="103" xr3:uid="{00000000-0010-0000-0100-000067000000}" uniqueName="103" name="Enlace" queryTableFieldId="19" dataDxfId="72" dataCellStyle="Millares"/>
    <tableColumn id="104" xr3:uid="{00000000-0010-0000-0100-000068000000}" uniqueName="104" name="Tipo" queryTableFieldId="20" dataDxfId="71" dataCellStyle="Millares"/>
    <tableColumn id="105" xr3:uid="{00000000-0010-0000-0100-000069000000}" uniqueName="105" name="Acum" queryTableFieldId="21" dataDxfId="70" dataCellStyle="Millares"/>
    <tableColumn id="2" xr3:uid="{00000000-0010-0000-0100-000002000000}" uniqueName="2" name="Cambios" queryTableFieldId="26" dataDxfId="69" dataCellStyle="Millares"/>
    <tableColumn id="5" xr3:uid="{D4674088-EE14-4866-8FEA-ACFB12188A44}" uniqueName="5" name="enlace_comentario" queryTableFieldId="27" dataDxfId="68" dataCellStyle="Millares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la_TCS" displayName="Tabla_TCS" ref="B7:AB96" tableType="queryTable" totalsRowShown="0" headerRowDxfId="67" dataDxfId="66">
  <tableColumns count="27">
    <tableColumn id="26" xr3:uid="{00000000-0010-0000-0200-00001A000000}" uniqueName="26" name="Indicador" queryTableFieldId="1" dataDxfId="65"/>
    <tableColumn id="27" xr3:uid="{00000000-0010-0000-0200-00001B000000}" uniqueName="27" name="Sub Indicador" queryTableFieldId="2" dataDxfId="64"/>
    <tableColumn id="28" xr3:uid="{00000000-0010-0000-0200-00001C000000}" uniqueName="28" name="Descripción" queryTableFieldId="3" dataDxfId="63"/>
    <tableColumn id="29" xr3:uid="{00000000-0010-0000-0200-00001D000000}" uniqueName="29" name="Und." queryTableFieldId="4" dataDxfId="62"/>
    <tableColumn id="30" xr3:uid="{00000000-0010-0000-0200-00001E000000}" uniqueName="30" name="Real" queryTableFieldId="5" dataDxfId="61"/>
    <tableColumn id="31" xr3:uid="{00000000-0010-0000-0200-00001F000000}" uniqueName="31" name="Frct" queryTableFieldId="6" dataDxfId="60"/>
    <tableColumn id="32" xr3:uid="{00000000-0010-0000-0200-000020000000}" uniqueName="32" name="Var%" queryTableFieldId="7" dataDxfId="59" dataCellStyle="Porcentaje"/>
    <tableColumn id="33" xr3:uid="{00000000-0010-0000-0200-000021000000}" uniqueName="33" name="C" queryTableFieldId="8" dataDxfId="58"/>
    <tableColumn id="34" xr3:uid="{00000000-0010-0000-0200-000022000000}" uniqueName="34" name="Real." queryTableFieldId="9" dataDxfId="57"/>
    <tableColumn id="35" xr3:uid="{00000000-0010-0000-0200-000023000000}" uniqueName="35" name="Frct." queryTableFieldId="10" dataDxfId="56"/>
    <tableColumn id="36" xr3:uid="{00000000-0010-0000-0200-000024000000}" uniqueName="36" name="Var.%" queryTableFieldId="11" dataDxfId="55" dataCellStyle="Porcentaje"/>
    <tableColumn id="37" xr3:uid="{00000000-0010-0000-0200-000025000000}" uniqueName="37" name="C." queryTableFieldId="12" dataDxfId="54"/>
    <tableColumn id="38" xr3:uid="{00000000-0010-0000-0200-000026000000}" uniqueName="38" name="Frct..." queryTableFieldId="13" dataDxfId="53"/>
    <tableColumn id="39" xr3:uid="{00000000-0010-0000-0200-000027000000}" uniqueName="39" name="Real.." queryTableFieldId="14" dataDxfId="52"/>
    <tableColumn id="40" xr3:uid="{00000000-0010-0000-0200-000028000000}" uniqueName="40" name="Frct.." queryTableFieldId="15" dataDxfId="51"/>
    <tableColumn id="41" xr3:uid="{00000000-0010-0000-0200-000029000000}" uniqueName="41" name="Var..%" queryTableFieldId="16" dataDxfId="50" dataCellStyle="Porcentaje"/>
    <tableColumn id="42" xr3:uid="{00000000-0010-0000-0200-00002A000000}" uniqueName="42" name="C.." queryTableFieldId="17" dataDxfId="49"/>
    <tableColumn id="53" xr3:uid="{00000000-0010-0000-0200-000035000000}" uniqueName="53" name="Con" queryTableFieldId="20" dataDxfId="48"/>
    <tableColumn id="52" xr3:uid="{00000000-0010-0000-0200-000034000000}" uniqueName="52" name="Imp" queryTableFieldId="21" dataDxfId="47"/>
    <tableColumn id="51" xr3:uid="{00000000-0010-0000-0200-000033000000}" uniqueName="51" name="Dec" queryTableFieldId="22" dataDxfId="46"/>
    <tableColumn id="43" xr3:uid="{00000000-0010-0000-0200-00002B000000}" uniqueName="43" name="Explicación" queryTableFieldId="18" dataDxfId="45"/>
    <tableColumn id="44" xr3:uid="{00000000-0010-0000-0200-00002C000000}" uniqueName="44" name="Acción" queryTableFieldId="19" dataDxfId="44"/>
    <tableColumn id="48" xr3:uid="{00000000-0010-0000-0200-000030000000}" uniqueName="48" name="Enlace" queryTableFieldId="23" dataDxfId="43"/>
    <tableColumn id="49" xr3:uid="{00000000-0010-0000-0200-000031000000}" uniqueName="49" name="Tipo" queryTableFieldId="24" dataDxfId="42"/>
    <tableColumn id="50" xr3:uid="{00000000-0010-0000-0200-000032000000}" uniqueName="50" name="Acum" queryTableFieldId="25" dataDxfId="41"/>
    <tableColumn id="1" xr3:uid="{00000000-0010-0000-0200-000001000000}" uniqueName="1" name="Cambios" queryTableFieldId="30" dataDxfId="40"/>
    <tableColumn id="2" xr3:uid="{CE4954EB-CE91-40C5-8E9B-62FCFF74BAA7}" uniqueName="2" name="enlace_comentario" queryTableFieldId="31" dataDxfId="39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Tabla_TCM" displayName="Tabla_TCM" ref="B7:AL127" tableType="queryTable" totalsRowShown="0" headerRowDxfId="38" dataDxfId="37">
  <tableColumns count="37">
    <tableColumn id="29" xr3:uid="{00000000-0010-0000-0300-00001D000000}" uniqueName="29" name="Indicador" queryTableFieldId="1" dataDxfId="36" dataCellStyle="Millares"/>
    <tableColumn id="10" xr3:uid="{C113C1F9-B259-4E1F-BA1A-8DD336A7F2E9}" uniqueName="10" name="Columna1" queryTableFieldId="50" dataDxfId="35" dataCellStyle="Millares"/>
    <tableColumn id="31" xr3:uid="{00000000-0010-0000-0300-00001F000000}" uniqueName="31" name="Descripción" queryTableFieldId="3" dataDxfId="34"/>
    <tableColumn id="32" xr3:uid="{00000000-0010-0000-0300-000020000000}" uniqueName="32" name="Und." queryTableFieldId="4" dataDxfId="33"/>
    <tableColumn id="33" xr3:uid="{00000000-0010-0000-0300-000021000000}" uniqueName="33" name="Real" queryTableFieldId="5" dataDxfId="32"/>
    <tableColumn id="34" xr3:uid="{00000000-0010-0000-0300-000022000000}" uniqueName="34" name="Frct" queryTableFieldId="6" dataDxfId="31"/>
    <tableColumn id="35" xr3:uid="{00000000-0010-0000-0300-000023000000}" uniqueName="35" name="Var%" queryTableFieldId="7" dataDxfId="30" dataCellStyle="Porcentaje"/>
    <tableColumn id="36" xr3:uid="{00000000-0010-0000-0300-000024000000}" uniqueName="36" name="C" queryTableFieldId="8" dataDxfId="29" dataCellStyle="Millares"/>
    <tableColumn id="37" xr3:uid="{00000000-0010-0000-0300-000025000000}" uniqueName="37" name="Ppto" queryTableFieldId="9" dataDxfId="28"/>
    <tableColumn id="38" xr3:uid="{00000000-0010-0000-0300-000026000000}" uniqueName="38" name="Var P%" queryTableFieldId="10" dataDxfId="27" dataCellStyle="Porcentaje"/>
    <tableColumn id="39" xr3:uid="{00000000-0010-0000-0300-000027000000}" uniqueName="39" name="C P" queryTableFieldId="11" dataDxfId="26" dataCellStyle="Porcentaje"/>
    <tableColumn id="40" xr3:uid="{00000000-0010-0000-0300-000028000000}" uniqueName="40" name="Real." queryTableFieldId="12" dataDxfId="25"/>
    <tableColumn id="41" xr3:uid="{00000000-0010-0000-0300-000029000000}" uniqueName="41" name="Frct." queryTableFieldId="13" dataDxfId="24"/>
    <tableColumn id="42" xr3:uid="{00000000-0010-0000-0300-00002A000000}" uniqueName="42" name="Var.%" queryTableFieldId="14" dataDxfId="23" dataCellStyle="Porcentaje"/>
    <tableColumn id="43" xr3:uid="{00000000-0010-0000-0300-00002B000000}" uniqueName="43" name="C." queryTableFieldId="15" dataDxfId="22" dataCellStyle="Millares"/>
    <tableColumn id="44" xr3:uid="{00000000-0010-0000-0300-00002C000000}" uniqueName="44" name="Ppto." queryTableFieldId="16" dataDxfId="21"/>
    <tableColumn id="45" xr3:uid="{00000000-0010-0000-0300-00002D000000}" uniqueName="45" name="Var. P%" queryTableFieldId="17" dataDxfId="20" dataCellStyle="Porcentaje"/>
    <tableColumn id="46" xr3:uid="{00000000-0010-0000-0300-00002E000000}" uniqueName="46" name="C. P" queryTableFieldId="18" dataDxfId="19" dataCellStyle="Millares"/>
    <tableColumn id="47" xr3:uid="{00000000-0010-0000-0300-00002F000000}" uniqueName="47" name="Frct..." queryTableFieldId="19" dataDxfId="18"/>
    <tableColumn id="48" xr3:uid="{00000000-0010-0000-0300-000030000000}" uniqueName="48" name="Ppto..." queryTableFieldId="20" dataDxfId="17" dataCellStyle="Millares"/>
    <tableColumn id="3" xr3:uid="{00000000-0010-0000-0300-000003000000}" uniqueName="3" name="Real.." queryTableFieldId="47" dataDxfId="16"/>
    <tableColumn id="2" xr3:uid="{00000000-0010-0000-0300-000002000000}" uniqueName="2" name="Frct.." queryTableFieldId="40" dataDxfId="15"/>
    <tableColumn id="1" xr3:uid="{00000000-0010-0000-0300-000001000000}" uniqueName="1" name="Var..%" queryTableFieldId="41" dataDxfId="14" dataCellStyle="Porcentaje"/>
    <tableColumn id="4" xr3:uid="{00000000-0010-0000-0300-000004000000}" uniqueName="4" name="C.." queryTableFieldId="42" dataDxfId="13" dataCellStyle="Millares"/>
    <tableColumn id="7" xr3:uid="{00000000-0010-0000-0300-000007000000}" uniqueName="7" name="Ppto.." queryTableFieldId="43" dataDxfId="12"/>
    <tableColumn id="6" xr3:uid="{00000000-0010-0000-0300-000006000000}" uniqueName="6" name="Var.. P%" queryTableFieldId="44" dataDxfId="11" dataCellStyle="Porcentaje"/>
    <tableColumn id="5" xr3:uid="{00000000-0010-0000-0300-000005000000}" uniqueName="5" name="C.. P" queryTableFieldId="45" dataDxfId="10" dataCellStyle="Millares"/>
    <tableColumn id="59" xr3:uid="{00000000-0010-0000-0300-00003B000000}" uniqueName="59" name="Con" queryTableFieldId="23" dataDxfId="9" dataCellStyle="Millares"/>
    <tableColumn id="58" xr3:uid="{00000000-0010-0000-0300-00003A000000}" uniqueName="58" name="Imp" queryTableFieldId="24" dataDxfId="8" dataCellStyle="Millares"/>
    <tableColumn id="57" xr3:uid="{00000000-0010-0000-0300-000039000000}" uniqueName="57" name="Dec" queryTableFieldId="25" dataDxfId="7" dataCellStyle="Millares"/>
    <tableColumn id="49" xr3:uid="{00000000-0010-0000-0300-000031000000}" uniqueName="49" name="Explicación" queryTableFieldId="21" dataDxfId="6" dataCellStyle="Millares"/>
    <tableColumn id="50" xr3:uid="{00000000-0010-0000-0300-000032000000}" uniqueName="50" name="Acción" queryTableFieldId="22" dataDxfId="5" dataCellStyle="Millares"/>
    <tableColumn id="54" xr3:uid="{00000000-0010-0000-0300-000036000000}" uniqueName="54" name="Enlace" queryTableFieldId="26" dataDxfId="4" dataCellStyle="Millares"/>
    <tableColumn id="55" xr3:uid="{00000000-0010-0000-0300-000037000000}" uniqueName="55" name="Tipo" queryTableFieldId="27" dataDxfId="3" dataCellStyle="Millares"/>
    <tableColumn id="56" xr3:uid="{00000000-0010-0000-0300-000038000000}" uniqueName="56" name="Acum" queryTableFieldId="28" dataDxfId="2" dataCellStyle="Millares"/>
    <tableColumn id="8" xr3:uid="{00000000-0010-0000-0300-000008000000}" uniqueName="8" name="Cambios" queryTableFieldId="48" dataDxfId="1" dataCellStyle="Millares"/>
    <tableColumn id="9" xr3:uid="{057DAA72-8908-43A2-A78B-4FC3EF6A7315}" uniqueName="9" name="enlace_comentario" queryTableFieldId="49" dataDxfId="0" dataCellStyle="Millares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26"/>
  <sheetViews>
    <sheetView showGridLines="0" tabSelected="1" topLeftCell="A4" zoomScale="95" zoomScaleNormal="95" workbookViewId="0">
      <selection activeCell="E16" sqref="E16"/>
    </sheetView>
  </sheetViews>
  <sheetFormatPr baseColWidth="10" defaultColWidth="11.3828125" defaultRowHeight="14.6"/>
  <cols>
    <col min="1" max="1" width="17" customWidth="1"/>
    <col min="2" max="2" width="12" style="2" bestFit="1" customWidth="1"/>
    <col min="3" max="3" width="11.3828125" style="2" customWidth="1"/>
    <col min="4" max="4" width="9.15234375" bestFit="1" customWidth="1"/>
    <col min="5" max="5" width="9.3046875" bestFit="1" customWidth="1"/>
    <col min="6" max="6" width="14.3828125" bestFit="1" customWidth="1"/>
    <col min="7" max="7" width="14.3046875" customWidth="1"/>
    <col min="8" max="8" width="91.3046875" customWidth="1"/>
    <col min="9" max="9" width="19" style="9" customWidth="1"/>
    <col min="10" max="10" width="6.84375" style="9" customWidth="1"/>
    <col min="11" max="11" width="7.3046875" customWidth="1"/>
    <col min="12" max="12" width="11.69140625" style="10" bestFit="1" customWidth="1"/>
    <col min="13" max="13" width="38.69140625" customWidth="1"/>
  </cols>
  <sheetData>
    <row r="1" spans="1:12" hidden="1">
      <c r="A1" s="6" t="s">
        <v>3</v>
      </c>
    </row>
    <row r="2" spans="1:12" ht="18.75" hidden="1" customHeight="1">
      <c r="A2" s="7"/>
    </row>
    <row r="3" spans="1:12" hidden="1">
      <c r="B3"/>
      <c r="C3"/>
    </row>
    <row r="4" spans="1:12" s="3" customFormat="1" ht="30.75" customHeight="1">
      <c r="A4" s="139" t="s">
        <v>2</v>
      </c>
      <c r="B4" s="140" t="s">
        <v>0</v>
      </c>
      <c r="C4" s="141" t="s">
        <v>1</v>
      </c>
      <c r="D4" s="140" t="s">
        <v>4</v>
      </c>
      <c r="E4" s="140" t="s">
        <v>77</v>
      </c>
      <c r="F4" s="140" t="s">
        <v>78</v>
      </c>
      <c r="G4" s="142" t="s">
        <v>28</v>
      </c>
      <c r="H4" s="140" t="s">
        <v>101</v>
      </c>
      <c r="I4" s="15"/>
      <c r="J4" s="15"/>
      <c r="L4" s="11"/>
    </row>
    <row r="5" spans="1:12" s="1" customFormat="1" ht="22.5" customHeight="1" thickBot="1">
      <c r="A5" s="161">
        <v>43101</v>
      </c>
      <c r="B5" s="162" t="s">
        <v>402</v>
      </c>
      <c r="C5" s="163">
        <v>310</v>
      </c>
      <c r="D5" s="164">
        <v>2</v>
      </c>
      <c r="E5" s="164" t="s">
        <v>401</v>
      </c>
      <c r="F5" s="165">
        <v>190302</v>
      </c>
      <c r="G5" s="165"/>
      <c r="H5" s="166" t="s">
        <v>409</v>
      </c>
      <c r="I5" s="8"/>
      <c r="J5" s="8"/>
      <c r="L5" s="12"/>
    </row>
    <row r="6" spans="1:12" s="27" customFormat="1" ht="24.65" hidden="1" customHeight="1" thickBot="1">
      <c r="A6" s="788" t="s">
        <v>102</v>
      </c>
      <c r="B6" s="788"/>
      <c r="C6" s="788"/>
      <c r="D6" s="788"/>
      <c r="E6" s="788"/>
      <c r="F6" s="788"/>
      <c r="G6" s="788"/>
      <c r="H6" s="788"/>
    </row>
    <row r="7" spans="1:12" s="3" customFormat="1" ht="63.65" customHeight="1" thickBot="1">
      <c r="A7" s="785" t="s">
        <v>410</v>
      </c>
      <c r="B7" s="786"/>
      <c r="C7" s="786"/>
      <c r="D7" s="786"/>
      <c r="E7" s="786"/>
      <c r="F7" s="786"/>
      <c r="G7" s="786"/>
      <c r="H7" s="787"/>
    </row>
    <row r="8" spans="1:12" s="4" customFormat="1" ht="10.75">
      <c r="D8" s="16"/>
      <c r="E8" s="16"/>
      <c r="F8" s="16"/>
      <c r="G8" s="16"/>
      <c r="H8" s="13"/>
    </row>
    <row r="9" spans="1:12" s="4" customFormat="1">
      <c r="C9" s="2"/>
      <c r="D9"/>
      <c r="E9"/>
      <c r="F9"/>
      <c r="G9"/>
      <c r="I9" s="16"/>
      <c r="J9" s="16"/>
      <c r="L9" s="13"/>
    </row>
    <row r="10" spans="1:12" s="3" customFormat="1">
      <c r="C10" s="2"/>
      <c r="D10"/>
      <c r="E10"/>
      <c r="F10"/>
      <c r="G10"/>
      <c r="I10" s="15"/>
      <c r="J10" s="15"/>
      <c r="L10" s="11"/>
    </row>
    <row r="11" spans="1:12" s="3" customFormat="1">
      <c r="C11" s="2"/>
      <c r="D11"/>
      <c r="E11"/>
      <c r="F11"/>
      <c r="G11"/>
      <c r="I11" s="15"/>
      <c r="J11" s="15"/>
      <c r="L11" s="11"/>
    </row>
    <row r="12" spans="1:12" s="5" customFormat="1">
      <c r="A12"/>
      <c r="B12" s="2"/>
      <c r="C12" s="2"/>
      <c r="D12"/>
      <c r="E12"/>
      <c r="F12"/>
      <c r="G12"/>
      <c r="I12" s="17"/>
      <c r="J12" s="17"/>
      <c r="L12" s="14"/>
    </row>
    <row r="13" spans="1:12" s="5" customFormat="1">
      <c r="A13"/>
      <c r="B13" s="2"/>
      <c r="C13" s="2"/>
      <c r="D13"/>
      <c r="E13"/>
      <c r="F13"/>
      <c r="G13"/>
      <c r="I13" s="17"/>
      <c r="J13" s="17"/>
      <c r="L13" s="14"/>
    </row>
    <row r="14" spans="1:12" s="5" customFormat="1">
      <c r="A14"/>
      <c r="B14" s="2"/>
      <c r="C14" s="2"/>
      <c r="D14"/>
      <c r="E14"/>
      <c r="F14"/>
      <c r="G14"/>
      <c r="I14" s="17"/>
      <c r="J14" s="17"/>
      <c r="L14" s="14"/>
    </row>
    <row r="15" spans="1:12" s="5" customFormat="1">
      <c r="A15"/>
      <c r="B15" s="2"/>
      <c r="C15" s="2"/>
      <c r="D15"/>
      <c r="E15"/>
      <c r="F15"/>
      <c r="G15"/>
      <c r="I15" s="17"/>
      <c r="J15" s="17"/>
      <c r="L15" s="14"/>
    </row>
    <row r="16" spans="1:12" s="5" customFormat="1">
      <c r="A16"/>
      <c r="B16" s="2"/>
      <c r="C16" s="2"/>
      <c r="D16"/>
      <c r="E16"/>
      <c r="F16"/>
      <c r="G16"/>
      <c r="I16" s="17"/>
      <c r="J16" s="17"/>
      <c r="L16" s="14"/>
    </row>
    <row r="17" spans="1:12" s="5" customFormat="1">
      <c r="A17"/>
      <c r="B17" s="2"/>
      <c r="C17" s="2"/>
      <c r="D17"/>
      <c r="E17"/>
      <c r="F17"/>
      <c r="G17"/>
      <c r="I17" s="17"/>
      <c r="J17" s="17"/>
      <c r="L17" s="14"/>
    </row>
    <row r="18" spans="1:12" s="5" customFormat="1">
      <c r="A18"/>
      <c r="B18" s="2"/>
      <c r="C18" s="2"/>
      <c r="D18"/>
      <c r="E18"/>
      <c r="F18"/>
      <c r="G18"/>
    </row>
    <row r="19" spans="1:12" s="5" customFormat="1">
      <c r="A19"/>
      <c r="B19" s="2"/>
      <c r="C19" s="2"/>
      <c r="D19"/>
      <c r="E19"/>
      <c r="F19"/>
      <c r="G19"/>
    </row>
    <row r="20" spans="1:12" s="5" customFormat="1">
      <c r="A20"/>
      <c r="B20" s="2"/>
      <c r="C20" s="2"/>
      <c r="D20"/>
      <c r="E20"/>
      <c r="F20"/>
      <c r="G20"/>
    </row>
    <row r="21" spans="1:12" s="5" customFormat="1">
      <c r="A21"/>
      <c r="B21" s="2"/>
      <c r="C21" s="2"/>
      <c r="D21"/>
      <c r="E21"/>
      <c r="F21"/>
      <c r="G21"/>
    </row>
    <row r="22" spans="1:12" s="5" customFormat="1">
      <c r="A22"/>
      <c r="B22" s="2"/>
      <c r="C22" s="2"/>
      <c r="D22"/>
      <c r="E22"/>
      <c r="F22"/>
      <c r="G22"/>
    </row>
    <row r="23" spans="1:12" s="5" customFormat="1">
      <c r="A23"/>
      <c r="B23" s="2"/>
      <c r="C23" s="2"/>
      <c r="D23"/>
      <c r="E23"/>
      <c r="F23"/>
      <c r="G23"/>
      <c r="I23" s="17"/>
      <c r="J23" s="17"/>
      <c r="L23" s="14"/>
    </row>
    <row r="24" spans="1:12" s="5" customFormat="1">
      <c r="A24"/>
      <c r="B24" s="2"/>
      <c r="C24" s="2"/>
      <c r="D24"/>
      <c r="E24"/>
      <c r="F24"/>
      <c r="G24"/>
      <c r="I24" s="17"/>
      <c r="J24" s="17"/>
      <c r="L24" s="14"/>
    </row>
    <row r="25" spans="1:12" s="5" customFormat="1">
      <c r="A25"/>
      <c r="B25" s="2"/>
      <c r="C25" s="2"/>
      <c r="D25"/>
      <c r="E25"/>
      <c r="F25"/>
      <c r="G25"/>
      <c r="I25" s="17"/>
      <c r="J25" s="17"/>
      <c r="L25" s="14"/>
    </row>
    <row r="26" spans="1:12" s="5" customFormat="1">
      <c r="A26"/>
      <c r="B26" s="2"/>
      <c r="C26" s="2"/>
      <c r="D26"/>
      <c r="E26"/>
      <c r="F26"/>
      <c r="G26"/>
      <c r="I26" s="17"/>
      <c r="J26" s="17"/>
      <c r="L26" s="14"/>
    </row>
  </sheetData>
  <sheetProtection selectLockedCells="1" sort="0" autoFilter="0"/>
  <protectedRanges>
    <protectedRange sqref="A5" name="Fecha_Operación"/>
  </protectedRanges>
  <dataConsolidate/>
  <mergeCells count="2">
    <mergeCell ref="A7:H7"/>
    <mergeCell ref="A6:H6"/>
  </mergeCells>
  <dataValidations disablePrompts="1" count="1">
    <dataValidation type="list" allowBlank="1" showInputMessage="1" showErrorMessage="1" sqref="A609:A618" xr:uid="{00000000-0002-0000-0000-000000000000}">
      <formula1>INDIRECT("Tabla_Tajos[Tajo /Labor]")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BtnRegistro_Carga_Click">
                <anchor moveWithCells="1" sizeWithCells="1">
                  <from>
                    <xdr:col>6</xdr:col>
                    <xdr:colOff>65314</xdr:colOff>
                    <xdr:row>4</xdr:row>
                    <xdr:rowOff>10886</xdr:rowOff>
                  </from>
                  <to>
                    <xdr:col>6</xdr:col>
                    <xdr:colOff>898071</xdr:colOff>
                    <xdr:row>4</xdr:row>
                    <xdr:rowOff>250371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outlinePr summaryBelow="0"/>
    <pageSetUpPr fitToPage="1"/>
  </sheetPr>
  <dimension ref="B1:X42"/>
  <sheetViews>
    <sheetView showGridLines="0" zoomScale="98" zoomScaleNormal="98" workbookViewId="0">
      <pane xSplit="9" ySplit="7" topLeftCell="J8" activePane="bottomRight" state="frozen"/>
      <selection activeCell="A3" sqref="A3"/>
      <selection pane="topRight" activeCell="I3" sqref="I3"/>
      <selection pane="bottomLeft" activeCell="A9" sqref="A9"/>
      <selection pane="bottomRight" activeCell="F13" sqref="F13"/>
    </sheetView>
  </sheetViews>
  <sheetFormatPr baseColWidth="10" defaultColWidth="12" defaultRowHeight="14.6"/>
  <cols>
    <col min="1" max="1" width="1.3828125" style="23" customWidth="1"/>
    <col min="2" max="2" width="9.3046875" style="35" hidden="1" customWidth="1"/>
    <col min="3" max="3" width="11.3828125" style="61" hidden="1" customWidth="1"/>
    <col min="4" max="4" width="47.69140625" style="62" customWidth="1"/>
    <col min="5" max="5" width="7" style="41" customWidth="1"/>
    <col min="6" max="7" width="10.15234375" style="43" customWidth="1"/>
    <col min="8" max="8" width="7.3828125" style="40" bestFit="1" customWidth="1"/>
    <col min="9" max="9" width="3.69140625" style="63" customWidth="1"/>
    <col min="10" max="10" width="11.53515625" style="43" customWidth="1"/>
    <col min="11" max="11" width="11.84375" style="43" customWidth="1"/>
    <col min="12" max="12" width="7.3046875" style="40" customWidth="1"/>
    <col min="13" max="13" width="3.69140625" style="63" customWidth="1"/>
    <col min="14" max="14" width="11.69140625" style="43" customWidth="1"/>
    <col min="15" max="15" width="6" style="67" hidden="1" customWidth="1"/>
    <col min="16" max="16" width="5.3046875" style="64" hidden="1" customWidth="1"/>
    <col min="17" max="17" width="1.15234375" style="64" customWidth="1"/>
    <col min="18" max="19" width="36.53515625" style="42" customWidth="1"/>
    <col min="20" max="20" width="8.84375" style="100" hidden="1" customWidth="1"/>
    <col min="21" max="21" width="6" style="38" hidden="1" customWidth="1"/>
    <col min="22" max="22" width="7.15234375" style="38" hidden="1" customWidth="1"/>
    <col min="23" max="23" width="2" style="25" hidden="1" customWidth="1"/>
    <col min="24" max="24" width="14.15234375" style="24" hidden="1" customWidth="1"/>
    <col min="25" max="25" width="1.3828125" style="23" customWidth="1"/>
    <col min="26" max="16384" width="12" style="23"/>
  </cols>
  <sheetData>
    <row r="1" spans="2:24" s="47" customFormat="1">
      <c r="B1" s="143"/>
      <c r="C1" s="52"/>
      <c r="D1" s="154" t="s">
        <v>3</v>
      </c>
      <c r="E1" s="103"/>
      <c r="F1" s="144"/>
      <c r="G1" s="145"/>
      <c r="H1" s="146"/>
      <c r="I1" s="147"/>
      <c r="J1" s="54"/>
      <c r="M1" s="144"/>
      <c r="N1" s="153"/>
      <c r="O1" s="66"/>
      <c r="P1" s="45"/>
      <c r="R1" s="46"/>
      <c r="T1" s="98"/>
      <c r="V1" s="48"/>
      <c r="W1" s="36"/>
      <c r="X1" s="36"/>
    </row>
    <row r="2" spans="2:24" s="47" customFormat="1" ht="18.45">
      <c r="B2" s="148"/>
      <c r="C2" s="44"/>
      <c r="D2" s="155" t="s">
        <v>178</v>
      </c>
      <c r="E2" s="149"/>
      <c r="F2" s="149"/>
      <c r="H2" s="150"/>
      <c r="I2" s="151"/>
      <c r="J2" s="152"/>
      <c r="M2" s="791" t="s">
        <v>403</v>
      </c>
      <c r="N2" s="791"/>
      <c r="O2" s="66"/>
      <c r="P2" s="45"/>
      <c r="R2" s="46"/>
      <c r="T2" s="98"/>
      <c r="V2" s="48"/>
      <c r="W2" s="36"/>
      <c r="X2" s="36"/>
    </row>
    <row r="3" spans="2:24" s="47" customFormat="1" ht="3.75" customHeight="1" thickBot="1">
      <c r="B3" s="69"/>
      <c r="C3" s="70"/>
      <c r="D3" s="72"/>
      <c r="E3" s="72"/>
      <c r="F3" s="73"/>
      <c r="G3" s="73"/>
      <c r="H3" s="74"/>
      <c r="I3" s="75"/>
      <c r="J3" s="73"/>
      <c r="K3" s="76"/>
      <c r="L3" s="74"/>
      <c r="M3" s="138"/>
      <c r="N3" s="138"/>
      <c r="O3" s="66"/>
      <c r="P3" s="45"/>
      <c r="R3" s="46"/>
      <c r="S3" s="46"/>
      <c r="T3" s="98"/>
      <c r="V3" s="48"/>
      <c r="W3" s="36"/>
      <c r="X3" s="36"/>
    </row>
    <row r="4" spans="2:24" s="68" customFormat="1" ht="15" thickTop="1">
      <c r="B4" s="82"/>
      <c r="C4" s="50"/>
      <c r="D4" s="83" t="s">
        <v>70</v>
      </c>
      <c r="E4" s="96"/>
      <c r="F4" s="796">
        <v>43526</v>
      </c>
      <c r="G4" s="796"/>
      <c r="H4" s="796"/>
      <c r="I4" s="796"/>
      <c r="J4" s="793" t="s">
        <v>42</v>
      </c>
      <c r="K4" s="793"/>
      <c r="L4" s="793"/>
      <c r="M4" s="793"/>
      <c r="N4" s="91">
        <v>43526</v>
      </c>
      <c r="O4" s="51"/>
      <c r="P4" s="83"/>
      <c r="R4" s="84"/>
      <c r="T4" s="99"/>
      <c r="V4" s="85"/>
      <c r="W4" s="37"/>
      <c r="X4" s="37"/>
    </row>
    <row r="5" spans="2:24" s="68" customFormat="1" ht="15" thickBot="1">
      <c r="B5" s="86"/>
      <c r="C5" s="87"/>
      <c r="D5" s="88"/>
      <c r="E5" s="97"/>
      <c r="F5" s="81">
        <v>43526</v>
      </c>
      <c r="G5" s="77" t="s">
        <v>69</v>
      </c>
      <c r="H5" s="794">
        <v>43526</v>
      </c>
      <c r="I5" s="794"/>
      <c r="J5" s="77">
        <v>43525</v>
      </c>
      <c r="K5" s="78" t="s">
        <v>69</v>
      </c>
      <c r="L5" s="794">
        <v>43526</v>
      </c>
      <c r="M5" s="794"/>
      <c r="N5" s="792">
        <v>43526</v>
      </c>
      <c r="O5" s="792"/>
      <c r="P5" s="83"/>
      <c r="R5" s="84"/>
      <c r="T5" s="99"/>
      <c r="U5" s="90"/>
      <c r="V5" s="85"/>
      <c r="W5" s="37"/>
      <c r="X5" s="37"/>
    </row>
    <row r="6" spans="2:24" s="52" customFormat="1" ht="15" thickTop="1">
      <c r="B6" s="59" t="s">
        <v>67</v>
      </c>
      <c r="C6" s="50"/>
      <c r="D6" s="51" t="s">
        <v>6</v>
      </c>
      <c r="E6" s="52" t="s">
        <v>0</v>
      </c>
      <c r="F6" s="52" t="s">
        <v>7</v>
      </c>
      <c r="G6" s="52" t="s">
        <v>8</v>
      </c>
      <c r="H6" s="795" t="s">
        <v>68</v>
      </c>
      <c r="I6" s="795"/>
      <c r="J6" s="52" t="s">
        <v>7</v>
      </c>
      <c r="K6" s="52" t="s">
        <v>8</v>
      </c>
      <c r="L6" s="795" t="s">
        <v>68</v>
      </c>
      <c r="M6" s="795"/>
      <c r="N6" s="65" t="s">
        <v>71</v>
      </c>
      <c r="O6" s="51"/>
      <c r="P6" s="51"/>
      <c r="R6" s="80" t="s">
        <v>18</v>
      </c>
      <c r="S6" s="79" t="s">
        <v>9</v>
      </c>
      <c r="T6" s="59"/>
      <c r="U6" s="44"/>
      <c r="V6" s="60"/>
    </row>
    <row r="7" spans="2:24" s="52" customFormat="1" ht="15" hidden="1" customHeight="1">
      <c r="B7" s="49" t="s">
        <v>6</v>
      </c>
      <c r="C7" s="50" t="s">
        <v>11</v>
      </c>
      <c r="D7" s="51" t="s">
        <v>5</v>
      </c>
      <c r="E7" s="52" t="s">
        <v>10</v>
      </c>
      <c r="F7" s="53" t="s">
        <v>7</v>
      </c>
      <c r="G7" s="54" t="s">
        <v>29</v>
      </c>
      <c r="H7" s="54" t="s">
        <v>12</v>
      </c>
      <c r="I7" s="54" t="s">
        <v>13</v>
      </c>
      <c r="J7" s="53" t="s">
        <v>14</v>
      </c>
      <c r="K7" s="55" t="s">
        <v>30</v>
      </c>
      <c r="L7" s="56" t="s">
        <v>16</v>
      </c>
      <c r="M7" s="54" t="s">
        <v>17</v>
      </c>
      <c r="N7" s="54" t="s">
        <v>31</v>
      </c>
      <c r="O7" s="58" t="s">
        <v>19</v>
      </c>
      <c r="P7" s="44" t="s">
        <v>20</v>
      </c>
      <c r="Q7" s="44" t="s">
        <v>21</v>
      </c>
      <c r="R7" s="57" t="s">
        <v>18</v>
      </c>
      <c r="S7" s="57" t="s">
        <v>9</v>
      </c>
      <c r="T7" s="59" t="s">
        <v>22</v>
      </c>
      <c r="U7" s="58" t="s">
        <v>23</v>
      </c>
      <c r="V7" s="58" t="s">
        <v>27</v>
      </c>
      <c r="W7" s="85" t="s">
        <v>82</v>
      </c>
      <c r="X7" s="52" t="s">
        <v>86</v>
      </c>
    </row>
    <row r="8" spans="2:24" s="39" customFormat="1">
      <c r="B8" s="173" t="s">
        <v>45</v>
      </c>
      <c r="C8" s="172"/>
      <c r="D8" s="174" t="s">
        <v>104</v>
      </c>
      <c r="E8" s="195" t="s">
        <v>24</v>
      </c>
      <c r="F8" s="168"/>
      <c r="G8" s="168"/>
      <c r="H8" s="169"/>
      <c r="I8" s="170"/>
      <c r="J8" s="168"/>
      <c r="K8" s="168"/>
      <c r="L8" s="169"/>
      <c r="M8" s="170"/>
      <c r="N8" s="175"/>
      <c r="O8" s="167" t="s">
        <v>25</v>
      </c>
      <c r="P8" s="171"/>
      <c r="Q8" s="158">
        <v>0</v>
      </c>
      <c r="R8" s="94"/>
      <c r="S8" s="94"/>
      <c r="T8" s="100"/>
      <c r="U8" s="38" t="s">
        <v>24</v>
      </c>
      <c r="V8" s="38" t="s">
        <v>24</v>
      </c>
      <c r="W8" s="38">
        <v>0</v>
      </c>
      <c r="X8" s="38"/>
    </row>
    <row r="9" spans="2:24">
      <c r="B9" s="230" t="s">
        <v>336</v>
      </c>
      <c r="C9" s="251"/>
      <c r="D9" s="252" t="s">
        <v>46</v>
      </c>
      <c r="E9" s="238" t="s">
        <v>64</v>
      </c>
      <c r="F9" s="558">
        <v>0</v>
      </c>
      <c r="G9" s="559">
        <v>0</v>
      </c>
      <c r="H9" s="224">
        <v>1</v>
      </c>
      <c r="I9" s="249">
        <v>1</v>
      </c>
      <c r="J9" s="558">
        <v>0</v>
      </c>
      <c r="K9" s="559">
        <v>0</v>
      </c>
      <c r="L9" s="224">
        <v>1</v>
      </c>
      <c r="M9" s="249">
        <v>1</v>
      </c>
      <c r="N9" s="560">
        <v>0</v>
      </c>
      <c r="O9" s="222" t="s">
        <v>26</v>
      </c>
      <c r="P9" s="250"/>
      <c r="Q9" s="158">
        <v>2</v>
      </c>
      <c r="R9" s="185" t="s">
        <v>24</v>
      </c>
      <c r="S9" s="185" t="s">
        <v>24</v>
      </c>
      <c r="U9" s="38" t="s">
        <v>24</v>
      </c>
      <c r="V9" s="38" t="s">
        <v>24</v>
      </c>
      <c r="W9" s="38">
        <v>0</v>
      </c>
      <c r="X9" s="38"/>
    </row>
    <row r="10" spans="2:24">
      <c r="B10" s="173" t="s">
        <v>51</v>
      </c>
      <c r="C10" s="172"/>
      <c r="D10" s="174" t="s">
        <v>106</v>
      </c>
      <c r="E10" s="195" t="s">
        <v>24</v>
      </c>
      <c r="F10" s="168"/>
      <c r="G10" s="168"/>
      <c r="H10" s="169"/>
      <c r="I10" s="170"/>
      <c r="J10" s="168"/>
      <c r="K10" s="168"/>
      <c r="L10" s="169"/>
      <c r="M10" s="170"/>
      <c r="N10" s="175"/>
      <c r="O10" s="167" t="s">
        <v>25</v>
      </c>
      <c r="P10" s="171"/>
      <c r="Q10" s="158">
        <v>0</v>
      </c>
      <c r="R10" s="94"/>
      <c r="S10" s="94"/>
      <c r="U10" s="38" t="s">
        <v>24</v>
      </c>
      <c r="V10" s="38" t="s">
        <v>24</v>
      </c>
      <c r="W10" s="38">
        <v>0</v>
      </c>
      <c r="X10" s="38"/>
    </row>
    <row r="11" spans="2:24">
      <c r="B11" s="230" t="s">
        <v>52</v>
      </c>
      <c r="C11" s="251"/>
      <c r="D11" s="252" t="s">
        <v>212</v>
      </c>
      <c r="E11" s="238" t="s">
        <v>213</v>
      </c>
      <c r="F11" s="239">
        <v>147.67336130000001</v>
      </c>
      <c r="G11" s="223">
        <v>111.066246474808</v>
      </c>
      <c r="H11" s="224">
        <v>1.3296000000000001</v>
      </c>
      <c r="I11" s="249">
        <v>1</v>
      </c>
      <c r="J11" s="239">
        <v>285.11911047958336</v>
      </c>
      <c r="K11" s="223">
        <v>281.87976550520398</v>
      </c>
      <c r="L11" s="224">
        <v>1.01149</v>
      </c>
      <c r="M11" s="249">
        <v>1</v>
      </c>
      <c r="N11" s="240">
        <v>740.00000000000034</v>
      </c>
      <c r="O11" s="222" t="s">
        <v>26</v>
      </c>
      <c r="P11" s="250"/>
      <c r="Q11" s="158">
        <v>0</v>
      </c>
      <c r="R11" s="185"/>
      <c r="S11" s="185"/>
      <c r="U11" s="38" t="s">
        <v>24</v>
      </c>
      <c r="V11" s="38" t="s">
        <v>24</v>
      </c>
      <c r="W11" s="38">
        <v>0</v>
      </c>
      <c r="X11" s="38"/>
    </row>
    <row r="12" spans="2:24">
      <c r="B12" s="234" t="s">
        <v>54</v>
      </c>
      <c r="C12" s="312"/>
      <c r="D12" s="313" t="s">
        <v>214</v>
      </c>
      <c r="E12" s="241" t="s">
        <v>55</v>
      </c>
      <c r="F12" s="521">
        <v>0.41378789623018425</v>
      </c>
      <c r="G12" s="520">
        <v>0.38332015866513702</v>
      </c>
      <c r="H12" s="228">
        <v>1.07948</v>
      </c>
      <c r="I12" s="310">
        <v>1</v>
      </c>
      <c r="J12" s="521">
        <v>0.41249344020040285</v>
      </c>
      <c r="K12" s="520">
        <v>0.38332015866513708</v>
      </c>
      <c r="L12" s="228">
        <v>1.0761099999999999</v>
      </c>
      <c r="M12" s="310">
        <v>1</v>
      </c>
      <c r="N12" s="522">
        <v>0.38332015866513708</v>
      </c>
      <c r="O12" s="226" t="s">
        <v>56</v>
      </c>
      <c r="P12" s="311"/>
      <c r="Q12" s="158">
        <v>2</v>
      </c>
      <c r="R12" s="185"/>
      <c r="S12" s="185"/>
      <c r="U12" s="38" t="s">
        <v>24</v>
      </c>
      <c r="V12" s="38" t="s">
        <v>24</v>
      </c>
      <c r="W12" s="38">
        <v>0</v>
      </c>
      <c r="X12" s="38"/>
    </row>
    <row r="13" spans="2:24" ht="24">
      <c r="B13" s="544" t="s">
        <v>58</v>
      </c>
      <c r="C13" s="545"/>
      <c r="D13" s="546" t="s">
        <v>215</v>
      </c>
      <c r="E13" s="551" t="s">
        <v>216</v>
      </c>
      <c r="F13" s="552">
        <v>55.116999999999997</v>
      </c>
      <c r="G13" s="553">
        <v>110.66917293233099</v>
      </c>
      <c r="H13" s="547">
        <v>0.49802999999999997</v>
      </c>
      <c r="I13" s="548">
        <v>0</v>
      </c>
      <c r="J13" s="552">
        <v>101.619</v>
      </c>
      <c r="K13" s="553">
        <v>165.5263157894739</v>
      </c>
      <c r="L13" s="547">
        <v>0.61390999999999996</v>
      </c>
      <c r="M13" s="548">
        <v>0</v>
      </c>
      <c r="N13" s="555">
        <v>790.00000000000045</v>
      </c>
      <c r="O13" s="549" t="s">
        <v>26</v>
      </c>
      <c r="P13" s="550">
        <v>4</v>
      </c>
      <c r="Q13" s="158">
        <v>0</v>
      </c>
      <c r="R13" s="185" t="s">
        <v>404</v>
      </c>
      <c r="S13" s="185" t="s">
        <v>405</v>
      </c>
      <c r="U13" s="38" t="s">
        <v>24</v>
      </c>
      <c r="V13" s="38" t="s">
        <v>24</v>
      </c>
      <c r="W13" s="38">
        <v>0</v>
      </c>
      <c r="X13" s="38"/>
    </row>
    <row r="14" spans="2:24">
      <c r="B14" s="234" t="s">
        <v>83</v>
      </c>
      <c r="C14" s="312"/>
      <c r="D14" s="313" t="s">
        <v>217</v>
      </c>
      <c r="E14" s="241" t="s">
        <v>55</v>
      </c>
      <c r="F14" s="521">
        <v>1.12E-2</v>
      </c>
      <c r="G14" s="520">
        <v>1.0999999999999999E-2</v>
      </c>
      <c r="H14" s="228">
        <v>1.0181800000000001</v>
      </c>
      <c r="I14" s="310">
        <v>1</v>
      </c>
      <c r="J14" s="521">
        <v>1.12E-2</v>
      </c>
      <c r="K14" s="520">
        <v>1.0999999999999999E-2</v>
      </c>
      <c r="L14" s="228">
        <v>1.0181800000000001</v>
      </c>
      <c r="M14" s="310">
        <v>1</v>
      </c>
      <c r="N14" s="522">
        <v>1.0999999999999999E-2</v>
      </c>
      <c r="O14" s="226" t="s">
        <v>56</v>
      </c>
      <c r="P14" s="311"/>
      <c r="Q14" s="158">
        <v>2</v>
      </c>
      <c r="R14" s="185" t="s">
        <v>24</v>
      </c>
      <c r="S14" s="185" t="s">
        <v>24</v>
      </c>
      <c r="U14" s="38" t="s">
        <v>24</v>
      </c>
      <c r="V14" s="38" t="s">
        <v>24</v>
      </c>
      <c r="W14" s="38">
        <v>0</v>
      </c>
      <c r="X14" s="38"/>
    </row>
    <row r="15" spans="2:24">
      <c r="B15" s="544" t="s">
        <v>218</v>
      </c>
      <c r="C15" s="545"/>
      <c r="D15" s="546" t="s">
        <v>219</v>
      </c>
      <c r="E15" s="551" t="s">
        <v>216</v>
      </c>
      <c r="F15" s="552">
        <v>17.05</v>
      </c>
      <c r="G15" s="553">
        <v>1.00003552755634</v>
      </c>
      <c r="H15" s="547">
        <v>17.049389999999999</v>
      </c>
      <c r="I15" s="548">
        <v>1</v>
      </c>
      <c r="J15" s="552">
        <v>29.97</v>
      </c>
      <c r="K15" s="553">
        <v>1.00003552755634</v>
      </c>
      <c r="L15" s="547">
        <v>29.96894</v>
      </c>
      <c r="M15" s="548">
        <v>1</v>
      </c>
      <c r="N15" s="555">
        <v>10.0003552755634</v>
      </c>
      <c r="O15" s="549" t="s">
        <v>26</v>
      </c>
      <c r="P15" s="550">
        <v>4</v>
      </c>
      <c r="Q15" s="158">
        <v>0</v>
      </c>
      <c r="R15" s="185"/>
      <c r="S15" s="185"/>
      <c r="U15" s="38" t="s">
        <v>24</v>
      </c>
      <c r="V15" s="38" t="s">
        <v>24</v>
      </c>
      <c r="W15" s="38">
        <v>0</v>
      </c>
      <c r="X15" s="38"/>
    </row>
    <row r="16" spans="2:24">
      <c r="B16" s="234" t="s">
        <v>59</v>
      </c>
      <c r="C16" s="312"/>
      <c r="D16" s="313" t="s">
        <v>220</v>
      </c>
      <c r="E16" s="241" t="s">
        <v>55</v>
      </c>
      <c r="F16" s="521">
        <v>0.17072999999999999</v>
      </c>
      <c r="G16" s="520">
        <v>0.15</v>
      </c>
      <c r="H16" s="228">
        <v>1.1381999999999999</v>
      </c>
      <c r="I16" s="310">
        <v>1</v>
      </c>
      <c r="J16" s="521">
        <v>0.17072999999999999</v>
      </c>
      <c r="K16" s="520">
        <v>0.15</v>
      </c>
      <c r="L16" s="228">
        <v>1.1381999999999999</v>
      </c>
      <c r="M16" s="310">
        <v>1</v>
      </c>
      <c r="N16" s="522">
        <v>0.14999999999999997</v>
      </c>
      <c r="O16" s="226" t="s">
        <v>56</v>
      </c>
      <c r="P16" s="311"/>
      <c r="Q16" s="158">
        <v>2</v>
      </c>
      <c r="R16" s="185" t="s">
        <v>24</v>
      </c>
      <c r="S16" s="185" t="s">
        <v>24</v>
      </c>
      <c r="U16" s="38" t="s">
        <v>24</v>
      </c>
      <c r="V16" s="38" t="s">
        <v>24</v>
      </c>
      <c r="W16" s="38">
        <v>0</v>
      </c>
      <c r="X16" s="38"/>
    </row>
    <row r="17" spans="2:24">
      <c r="B17" s="544" t="s">
        <v>221</v>
      </c>
      <c r="C17" s="545"/>
      <c r="D17" s="546" t="s">
        <v>222</v>
      </c>
      <c r="E17" s="551" t="s">
        <v>216</v>
      </c>
      <c r="F17" s="552">
        <v>14.119</v>
      </c>
      <c r="G17" s="553">
        <v>13.783528353462399</v>
      </c>
      <c r="H17" s="547">
        <v>1.02434</v>
      </c>
      <c r="I17" s="548">
        <v>1</v>
      </c>
      <c r="J17" s="552">
        <v>27.797000000000001</v>
      </c>
      <c r="K17" s="553">
        <v>16.5263993677233</v>
      </c>
      <c r="L17" s="547">
        <v>1.68198</v>
      </c>
      <c r="M17" s="548">
        <v>1</v>
      </c>
      <c r="N17" s="555">
        <v>124.00062710304501</v>
      </c>
      <c r="O17" s="549" t="s">
        <v>26</v>
      </c>
      <c r="P17" s="550">
        <v>4</v>
      </c>
      <c r="Q17" s="158">
        <v>0</v>
      </c>
      <c r="R17" s="185"/>
      <c r="S17" s="185"/>
      <c r="U17" s="38" t="s">
        <v>24</v>
      </c>
      <c r="V17" s="38" t="s">
        <v>24</v>
      </c>
      <c r="W17" s="38">
        <v>0</v>
      </c>
      <c r="X17" s="38"/>
    </row>
    <row r="18" spans="2:24">
      <c r="B18" s="234" t="s">
        <v>107</v>
      </c>
      <c r="C18" s="312"/>
      <c r="D18" s="313" t="s">
        <v>223</v>
      </c>
      <c r="E18" s="241" t="s">
        <v>55</v>
      </c>
      <c r="F18" s="521">
        <v>0.657273</v>
      </c>
      <c r="G18" s="520">
        <v>0.64</v>
      </c>
      <c r="H18" s="228">
        <v>1.0269900000000001</v>
      </c>
      <c r="I18" s="310">
        <v>1</v>
      </c>
      <c r="J18" s="521">
        <v>0.657273</v>
      </c>
      <c r="K18" s="520">
        <v>0.64000000000000012</v>
      </c>
      <c r="L18" s="228">
        <v>1.0269900000000001</v>
      </c>
      <c r="M18" s="310">
        <v>1</v>
      </c>
      <c r="N18" s="522">
        <v>0.64</v>
      </c>
      <c r="O18" s="226" t="s">
        <v>56</v>
      </c>
      <c r="P18" s="311"/>
      <c r="Q18" s="158">
        <v>2</v>
      </c>
      <c r="R18" s="185" t="s">
        <v>24</v>
      </c>
      <c r="S18" s="185" t="s">
        <v>24</v>
      </c>
      <c r="U18" s="38" t="s">
        <v>24</v>
      </c>
      <c r="V18" s="38" t="s">
        <v>24</v>
      </c>
      <c r="W18" s="38">
        <v>0</v>
      </c>
      <c r="X18" s="38"/>
    </row>
    <row r="19" spans="2:24">
      <c r="B19" s="544" t="s">
        <v>109</v>
      </c>
      <c r="C19" s="545"/>
      <c r="D19" s="546" t="s">
        <v>225</v>
      </c>
      <c r="E19" s="551" t="s">
        <v>216</v>
      </c>
      <c r="F19" s="552">
        <v>50.076599999999999</v>
      </c>
      <c r="G19" s="553">
        <v>10</v>
      </c>
      <c r="H19" s="547">
        <v>5.0076599999999996</v>
      </c>
      <c r="I19" s="548">
        <v>1</v>
      </c>
      <c r="J19" s="552">
        <v>90.201800000000006</v>
      </c>
      <c r="K19" s="553">
        <v>20</v>
      </c>
      <c r="L19" s="547">
        <v>4.5100899999999999</v>
      </c>
      <c r="M19" s="548">
        <v>1</v>
      </c>
      <c r="N19" s="555">
        <v>279.60000000000002</v>
      </c>
      <c r="O19" s="549" t="s">
        <v>26</v>
      </c>
      <c r="P19" s="550">
        <v>4</v>
      </c>
      <c r="Q19" s="158">
        <v>0</v>
      </c>
      <c r="R19" s="185"/>
      <c r="S19" s="185"/>
      <c r="U19" s="38" t="s">
        <v>24</v>
      </c>
      <c r="V19" s="38" t="s">
        <v>24</v>
      </c>
      <c r="W19" s="38">
        <v>0</v>
      </c>
      <c r="X19" s="38"/>
    </row>
    <row r="20" spans="2:24">
      <c r="B20" s="234" t="s">
        <v>110</v>
      </c>
      <c r="C20" s="312"/>
      <c r="D20" s="313" t="s">
        <v>226</v>
      </c>
      <c r="E20" s="241" t="s">
        <v>216</v>
      </c>
      <c r="F20" s="242">
        <v>0</v>
      </c>
      <c r="G20" s="227">
        <v>0</v>
      </c>
      <c r="H20" s="228">
        <v>1</v>
      </c>
      <c r="I20" s="310">
        <v>1</v>
      </c>
      <c r="J20" s="242">
        <v>0</v>
      </c>
      <c r="K20" s="227">
        <v>0</v>
      </c>
      <c r="L20" s="228">
        <v>1</v>
      </c>
      <c r="M20" s="310">
        <v>1</v>
      </c>
      <c r="N20" s="243">
        <v>0</v>
      </c>
      <c r="O20" s="226" t="s">
        <v>56</v>
      </c>
      <c r="P20" s="311"/>
      <c r="Q20" s="158">
        <v>0</v>
      </c>
      <c r="R20" s="185" t="s">
        <v>24</v>
      </c>
      <c r="S20" s="185" t="s">
        <v>24</v>
      </c>
      <c r="U20" s="38" t="s">
        <v>24</v>
      </c>
      <c r="V20" s="38" t="s">
        <v>24</v>
      </c>
      <c r="W20" s="38">
        <v>0</v>
      </c>
      <c r="X20" s="38"/>
    </row>
    <row r="21" spans="2:24">
      <c r="B21" s="230" t="s">
        <v>111</v>
      </c>
      <c r="C21" s="251"/>
      <c r="D21" s="252" t="s">
        <v>229</v>
      </c>
      <c r="E21" s="238" t="s">
        <v>53</v>
      </c>
      <c r="F21" s="239"/>
      <c r="G21" s="223">
        <v>0</v>
      </c>
      <c r="H21" s="224">
        <v>0</v>
      </c>
      <c r="I21" s="249">
        <v>1</v>
      </c>
      <c r="J21" s="239">
        <v>0</v>
      </c>
      <c r="K21" s="223">
        <v>0</v>
      </c>
      <c r="L21" s="224">
        <v>1</v>
      </c>
      <c r="M21" s="249">
        <v>1</v>
      </c>
      <c r="N21" s="240">
        <v>0</v>
      </c>
      <c r="O21" s="222" t="s">
        <v>26</v>
      </c>
      <c r="P21" s="250"/>
      <c r="Q21" s="158">
        <v>0</v>
      </c>
      <c r="R21" s="185"/>
      <c r="S21" s="185"/>
      <c r="U21" s="38" t="s">
        <v>24</v>
      </c>
      <c r="V21" s="38" t="s">
        <v>24</v>
      </c>
      <c r="W21" s="38">
        <v>0</v>
      </c>
      <c r="X21" s="38"/>
    </row>
    <row r="22" spans="2:24">
      <c r="B22" s="234" t="s">
        <v>232</v>
      </c>
      <c r="C22" s="312"/>
      <c r="D22" s="313" t="s">
        <v>233</v>
      </c>
      <c r="E22" s="241" t="s">
        <v>53</v>
      </c>
      <c r="F22" s="242"/>
      <c r="G22" s="227">
        <v>0</v>
      </c>
      <c r="H22" s="228">
        <v>0</v>
      </c>
      <c r="I22" s="310">
        <v>1</v>
      </c>
      <c r="J22" s="242">
        <v>0</v>
      </c>
      <c r="K22" s="227">
        <v>0</v>
      </c>
      <c r="L22" s="228">
        <v>1</v>
      </c>
      <c r="M22" s="310">
        <v>1</v>
      </c>
      <c r="N22" s="243">
        <v>0</v>
      </c>
      <c r="O22" s="226" t="s">
        <v>56</v>
      </c>
      <c r="P22" s="311"/>
      <c r="Q22" s="158">
        <v>0</v>
      </c>
      <c r="R22" s="185"/>
      <c r="S22" s="185"/>
      <c r="U22" s="38" t="s">
        <v>24</v>
      </c>
      <c r="V22" s="38" t="s">
        <v>24</v>
      </c>
      <c r="W22" s="38">
        <v>0</v>
      </c>
      <c r="X22" s="38"/>
    </row>
    <row r="23" spans="2:24">
      <c r="B23" s="230" t="s">
        <v>234</v>
      </c>
      <c r="C23" s="251"/>
      <c r="D23" s="252" t="s">
        <v>235</v>
      </c>
      <c r="E23" s="238" t="s">
        <v>53</v>
      </c>
      <c r="F23" s="239"/>
      <c r="G23" s="223">
        <v>0</v>
      </c>
      <c r="H23" s="224">
        <v>0</v>
      </c>
      <c r="I23" s="249">
        <v>1</v>
      </c>
      <c r="J23" s="239">
        <v>0</v>
      </c>
      <c r="K23" s="223">
        <v>0</v>
      </c>
      <c r="L23" s="224">
        <v>1</v>
      </c>
      <c r="M23" s="249">
        <v>1</v>
      </c>
      <c r="N23" s="240">
        <v>0</v>
      </c>
      <c r="O23" s="222" t="s">
        <v>26</v>
      </c>
      <c r="P23" s="250"/>
      <c r="Q23" s="158">
        <v>0</v>
      </c>
      <c r="R23" s="185"/>
      <c r="S23" s="185"/>
      <c r="U23" s="38" t="s">
        <v>24</v>
      </c>
      <c r="V23" s="38" t="s">
        <v>24</v>
      </c>
      <c r="W23" s="38">
        <v>0</v>
      </c>
      <c r="X23" s="38"/>
    </row>
    <row r="24" spans="2:24">
      <c r="B24" s="173" t="s">
        <v>88</v>
      </c>
      <c r="C24" s="172"/>
      <c r="D24" s="174" t="s">
        <v>245</v>
      </c>
      <c r="E24" s="195" t="s">
        <v>24</v>
      </c>
      <c r="F24" s="168"/>
      <c r="G24" s="168"/>
      <c r="H24" s="169"/>
      <c r="I24" s="170"/>
      <c r="J24" s="168"/>
      <c r="K24" s="168"/>
      <c r="L24" s="169"/>
      <c r="M24" s="170"/>
      <c r="N24" s="175"/>
      <c r="O24" s="167" t="s">
        <v>25</v>
      </c>
      <c r="P24" s="171"/>
      <c r="Q24" s="158">
        <v>2</v>
      </c>
      <c r="R24" s="94"/>
      <c r="S24" s="94"/>
      <c r="U24" s="38" t="s">
        <v>24</v>
      </c>
      <c r="V24" s="38" t="s">
        <v>24</v>
      </c>
      <c r="W24" s="38">
        <v>0</v>
      </c>
      <c r="X24" s="38"/>
    </row>
    <row r="25" spans="2:24">
      <c r="B25" s="230" t="s">
        <v>246</v>
      </c>
      <c r="C25" s="251"/>
      <c r="D25" s="252" t="s">
        <v>247</v>
      </c>
      <c r="E25" s="238" t="s">
        <v>53</v>
      </c>
      <c r="F25" s="239">
        <v>1524.6980000000001</v>
      </c>
      <c r="G25" s="223">
        <v>1107.78996583717</v>
      </c>
      <c r="H25" s="224">
        <v>1.3763399999999999</v>
      </c>
      <c r="I25" s="249">
        <v>1</v>
      </c>
      <c r="J25" s="239"/>
      <c r="K25" s="223"/>
      <c r="L25" s="224"/>
      <c r="M25" s="249"/>
      <c r="N25" s="240">
        <v>4799.3601539922001</v>
      </c>
      <c r="O25" s="222" t="s">
        <v>26</v>
      </c>
      <c r="P25" s="250"/>
      <c r="Q25" s="158">
        <v>0</v>
      </c>
      <c r="R25" s="185" t="s">
        <v>24</v>
      </c>
      <c r="S25" s="185" t="s">
        <v>24</v>
      </c>
      <c r="U25" s="38" t="s">
        <v>24</v>
      </c>
      <c r="V25" s="38" t="s">
        <v>24</v>
      </c>
      <c r="W25" s="38">
        <v>0</v>
      </c>
      <c r="X25" s="38"/>
    </row>
    <row r="26" spans="2:24">
      <c r="B26" s="234" t="s">
        <v>249</v>
      </c>
      <c r="C26" s="312"/>
      <c r="D26" s="313" t="s">
        <v>250</v>
      </c>
      <c r="E26" s="241" t="s">
        <v>53</v>
      </c>
      <c r="F26" s="242">
        <v>510.61700000000002</v>
      </c>
      <c r="G26" s="227"/>
      <c r="H26" s="228"/>
      <c r="I26" s="310"/>
      <c r="J26" s="242"/>
      <c r="K26" s="227"/>
      <c r="L26" s="228"/>
      <c r="M26" s="310"/>
      <c r="N26" s="243"/>
      <c r="O26" s="226" t="s">
        <v>56</v>
      </c>
      <c r="P26" s="311"/>
      <c r="Q26" s="158">
        <v>0</v>
      </c>
      <c r="R26" s="185" t="s">
        <v>406</v>
      </c>
      <c r="S26" s="185" t="s">
        <v>24</v>
      </c>
      <c r="U26" s="38" t="s">
        <v>24</v>
      </c>
      <c r="V26" s="38" t="s">
        <v>24</v>
      </c>
      <c r="W26" s="38">
        <v>0</v>
      </c>
      <c r="X26" s="38"/>
    </row>
    <row r="27" spans="2:24">
      <c r="B27" s="230" t="s">
        <v>251</v>
      </c>
      <c r="C27" s="251"/>
      <c r="D27" s="252" t="s">
        <v>252</v>
      </c>
      <c r="E27" s="238" t="s">
        <v>53</v>
      </c>
      <c r="F27" s="239">
        <v>565.03200000000004</v>
      </c>
      <c r="G27" s="223"/>
      <c r="H27" s="224"/>
      <c r="I27" s="249"/>
      <c r="J27" s="239"/>
      <c r="K27" s="223"/>
      <c r="L27" s="224"/>
      <c r="M27" s="249"/>
      <c r="N27" s="240"/>
      <c r="O27" s="222" t="s">
        <v>26</v>
      </c>
      <c r="P27" s="250"/>
      <c r="Q27" s="158">
        <v>0</v>
      </c>
      <c r="R27" s="185" t="s">
        <v>407</v>
      </c>
      <c r="S27" s="185" t="s">
        <v>24</v>
      </c>
      <c r="U27" s="38" t="s">
        <v>24</v>
      </c>
      <c r="V27" s="38" t="s">
        <v>24</v>
      </c>
      <c r="W27" s="38">
        <v>0</v>
      </c>
      <c r="X27" s="38"/>
    </row>
    <row r="28" spans="2:24">
      <c r="B28" s="234" t="s">
        <v>253</v>
      </c>
      <c r="C28" s="312"/>
      <c r="D28" s="313" t="s">
        <v>254</v>
      </c>
      <c r="E28" s="241" t="s">
        <v>53</v>
      </c>
      <c r="F28" s="242">
        <v>449.04899999999998</v>
      </c>
      <c r="G28" s="227"/>
      <c r="H28" s="228"/>
      <c r="I28" s="310"/>
      <c r="J28" s="242"/>
      <c r="K28" s="227"/>
      <c r="L28" s="228"/>
      <c r="M28" s="310"/>
      <c r="N28" s="243"/>
      <c r="O28" s="226" t="s">
        <v>56</v>
      </c>
      <c r="P28" s="311"/>
      <c r="Q28" s="158">
        <v>0</v>
      </c>
      <c r="R28" s="185" t="s">
        <v>408</v>
      </c>
      <c r="S28" s="185" t="s">
        <v>24</v>
      </c>
      <c r="U28" s="38" t="s">
        <v>24</v>
      </c>
      <c r="V28" s="38" t="s">
        <v>24</v>
      </c>
      <c r="W28" s="38">
        <v>0</v>
      </c>
      <c r="X28" s="38"/>
    </row>
    <row r="29" spans="2:24">
      <c r="B29" s="230" t="s">
        <v>256</v>
      </c>
      <c r="C29" s="251"/>
      <c r="D29" s="252" t="s">
        <v>257</v>
      </c>
      <c r="E29" s="238" t="s">
        <v>55</v>
      </c>
      <c r="F29" s="244">
        <v>0.38997245696400201</v>
      </c>
      <c r="G29" s="245">
        <v>0.37956281312998702</v>
      </c>
      <c r="H29" s="224">
        <v>1.0274300000000001</v>
      </c>
      <c r="I29" s="249">
        <v>1</v>
      </c>
      <c r="J29" s="244"/>
      <c r="K29" s="245"/>
      <c r="L29" s="224"/>
      <c r="M29" s="249"/>
      <c r="N29" s="246">
        <v>0.37956281312998691</v>
      </c>
      <c r="O29" s="222" t="s">
        <v>26</v>
      </c>
      <c r="P29" s="250"/>
      <c r="Q29" s="158">
        <v>2</v>
      </c>
      <c r="R29" s="185" t="s">
        <v>24</v>
      </c>
      <c r="S29" s="185" t="s">
        <v>24</v>
      </c>
      <c r="U29" s="38" t="s">
        <v>24</v>
      </c>
      <c r="V29" s="38" t="s">
        <v>24</v>
      </c>
      <c r="W29" s="38">
        <v>0</v>
      </c>
      <c r="X29" s="38"/>
    </row>
    <row r="30" spans="2:24">
      <c r="B30" s="234" t="s">
        <v>258</v>
      </c>
      <c r="C30" s="312"/>
      <c r="D30" s="313" t="s">
        <v>259</v>
      </c>
      <c r="E30" s="241" t="s">
        <v>260</v>
      </c>
      <c r="F30" s="242">
        <v>594.59022518810002</v>
      </c>
      <c r="G30" s="227">
        <v>420.47587579032842</v>
      </c>
      <c r="H30" s="228">
        <v>1.4140900000000001</v>
      </c>
      <c r="I30" s="310">
        <v>1</v>
      </c>
      <c r="J30" s="242"/>
      <c r="K30" s="227"/>
      <c r="L30" s="228"/>
      <c r="M30" s="310"/>
      <c r="N30" s="243">
        <v>1821.6586412732468</v>
      </c>
      <c r="O30" s="226" t="s">
        <v>56</v>
      </c>
      <c r="P30" s="311"/>
      <c r="Q30" s="158">
        <v>0</v>
      </c>
      <c r="R30" s="185"/>
      <c r="S30" s="185"/>
      <c r="U30" s="38" t="s">
        <v>24</v>
      </c>
      <c r="V30" s="38" t="s">
        <v>24</v>
      </c>
      <c r="W30" s="38">
        <v>0</v>
      </c>
      <c r="X30" s="38"/>
    </row>
    <row r="32" spans="2:24" ht="15.9">
      <c r="D32" s="789" t="s">
        <v>335</v>
      </c>
      <c r="E32" s="790"/>
      <c r="F32" s="790"/>
      <c r="G32" s="790"/>
      <c r="H32" s="790"/>
      <c r="I32" s="790"/>
      <c r="J32" s="790"/>
      <c r="K32" s="790"/>
      <c r="L32" s="790"/>
      <c r="M32" s="790"/>
      <c r="N32" s="790"/>
      <c r="O32" s="790"/>
      <c r="P32" s="790"/>
      <c r="Q32" s="790"/>
      <c r="R32" s="790"/>
      <c r="S32" s="790"/>
    </row>
    <row r="33" spans="2:19" ht="15.9">
      <c r="B33" s="523">
        <v>1</v>
      </c>
      <c r="D33" s="777" t="s">
        <v>24</v>
      </c>
      <c r="E33" s="778"/>
      <c r="F33" s="779"/>
      <c r="G33" s="779"/>
      <c r="H33" s="780"/>
      <c r="I33" s="780"/>
      <c r="J33" s="779"/>
      <c r="K33" s="779"/>
      <c r="L33" s="780"/>
      <c r="M33" s="780"/>
      <c r="N33" s="779"/>
      <c r="O33" s="781"/>
      <c r="P33" s="782"/>
      <c r="Q33" s="782"/>
      <c r="R33" s="783"/>
      <c r="S33" s="784"/>
    </row>
    <row r="34" spans="2:19" ht="15.9">
      <c r="B34" s="523">
        <v>2</v>
      </c>
      <c r="D34" s="524" t="s">
        <v>24</v>
      </c>
      <c r="E34" s="525"/>
      <c r="F34" s="526"/>
      <c r="G34" s="526"/>
      <c r="H34" s="527"/>
      <c r="I34" s="527"/>
      <c r="J34" s="526"/>
      <c r="K34" s="526"/>
      <c r="L34" s="527"/>
      <c r="M34" s="527"/>
      <c r="N34" s="526"/>
      <c r="O34" s="509"/>
      <c r="P34" s="528"/>
      <c r="Q34" s="528"/>
      <c r="R34" s="529"/>
      <c r="S34" s="536"/>
    </row>
    <row r="35" spans="2:19" ht="15.9">
      <c r="B35" s="523">
        <v>3</v>
      </c>
      <c r="D35" s="524" t="s">
        <v>24</v>
      </c>
      <c r="E35" s="525"/>
      <c r="F35" s="526"/>
      <c r="G35" s="526"/>
      <c r="H35" s="527"/>
      <c r="I35" s="527"/>
      <c r="J35" s="526"/>
      <c r="K35" s="526"/>
      <c r="L35" s="527"/>
      <c r="M35" s="527"/>
      <c r="N35" s="526"/>
      <c r="O35" s="509"/>
      <c r="P35" s="528"/>
      <c r="Q35" s="528"/>
      <c r="R35" s="529"/>
      <c r="S35" s="536"/>
    </row>
    <row r="36" spans="2:19" ht="15.9">
      <c r="B36" s="523">
        <v>4</v>
      </c>
      <c r="D36" s="524" t="s">
        <v>24</v>
      </c>
      <c r="E36" s="525"/>
      <c r="F36" s="526"/>
      <c r="G36" s="526"/>
      <c r="H36" s="527"/>
      <c r="I36" s="527"/>
      <c r="J36" s="526"/>
      <c r="K36" s="526"/>
      <c r="L36" s="527"/>
      <c r="M36" s="527"/>
      <c r="N36" s="526"/>
      <c r="O36" s="509"/>
      <c r="P36" s="528"/>
      <c r="Q36" s="528"/>
      <c r="R36" s="529"/>
      <c r="S36" s="536"/>
    </row>
    <row r="37" spans="2:19" ht="15.9">
      <c r="B37" s="523">
        <v>5</v>
      </c>
      <c r="D37" s="524" t="s">
        <v>24</v>
      </c>
      <c r="E37" s="525"/>
      <c r="F37" s="526"/>
      <c r="G37" s="526"/>
      <c r="H37" s="527"/>
      <c r="I37" s="527"/>
      <c r="J37" s="526"/>
      <c r="K37" s="526"/>
      <c r="L37" s="527"/>
      <c r="M37" s="527"/>
      <c r="N37" s="526"/>
      <c r="O37" s="509"/>
      <c r="P37" s="528"/>
      <c r="Q37" s="528"/>
      <c r="R37" s="529"/>
      <c r="S37" s="536"/>
    </row>
    <row r="38" spans="2:19" ht="15.9">
      <c r="B38" s="523">
        <v>6</v>
      </c>
      <c r="D38" s="524" t="s">
        <v>24</v>
      </c>
      <c r="E38" s="525"/>
      <c r="F38" s="526"/>
      <c r="G38" s="526"/>
      <c r="H38" s="527"/>
      <c r="I38" s="527"/>
      <c r="J38" s="526"/>
      <c r="K38" s="526"/>
      <c r="L38" s="527"/>
      <c r="M38" s="527"/>
      <c r="N38" s="526"/>
      <c r="O38" s="509"/>
      <c r="P38" s="528"/>
      <c r="Q38" s="528"/>
      <c r="R38" s="529"/>
      <c r="S38" s="536"/>
    </row>
    <row r="39" spans="2:19" ht="15.9">
      <c r="B39" s="523">
        <v>7</v>
      </c>
      <c r="D39" s="524" t="s">
        <v>24</v>
      </c>
      <c r="E39" s="525"/>
      <c r="F39" s="526"/>
      <c r="G39" s="526"/>
      <c r="H39" s="527"/>
      <c r="I39" s="527"/>
      <c r="J39" s="526"/>
      <c r="K39" s="526"/>
      <c r="L39" s="527"/>
      <c r="M39" s="527"/>
      <c r="N39" s="526"/>
      <c r="O39" s="509"/>
      <c r="P39" s="528"/>
      <c r="Q39" s="528"/>
      <c r="R39" s="529"/>
      <c r="S39" s="536"/>
    </row>
    <row r="40" spans="2:19" ht="15.9">
      <c r="B40" s="523">
        <v>8</v>
      </c>
      <c r="D40" s="524" t="s">
        <v>24</v>
      </c>
      <c r="E40" s="525"/>
      <c r="F40" s="526"/>
      <c r="G40" s="526"/>
      <c r="H40" s="527"/>
      <c r="I40" s="527"/>
      <c r="J40" s="526"/>
      <c r="K40" s="526"/>
      <c r="L40" s="527"/>
      <c r="M40" s="527"/>
      <c r="N40" s="526"/>
      <c r="O40" s="509"/>
      <c r="P40" s="528"/>
      <c r="Q40" s="528"/>
      <c r="R40" s="529"/>
      <c r="S40" s="536"/>
    </row>
    <row r="41" spans="2:19" ht="15.9">
      <c r="B41" s="523">
        <v>9</v>
      </c>
      <c r="D41" s="524" t="s">
        <v>24</v>
      </c>
      <c r="E41" s="525"/>
      <c r="F41" s="526"/>
      <c r="G41" s="526"/>
      <c r="H41" s="527"/>
      <c r="I41" s="527"/>
      <c r="J41" s="526"/>
      <c r="K41" s="526"/>
      <c r="L41" s="527"/>
      <c r="M41" s="527"/>
      <c r="N41" s="526"/>
      <c r="O41" s="509"/>
      <c r="P41" s="528"/>
      <c r="Q41" s="528"/>
      <c r="R41" s="529"/>
      <c r="S41" s="536"/>
    </row>
    <row r="42" spans="2:19" ht="15.9">
      <c r="B42" s="523">
        <v>10</v>
      </c>
      <c r="D42" s="530" t="s">
        <v>24</v>
      </c>
      <c r="E42" s="531"/>
      <c r="F42" s="532"/>
      <c r="G42" s="532"/>
      <c r="H42" s="533"/>
      <c r="I42" s="533"/>
      <c r="J42" s="532"/>
      <c r="K42" s="532"/>
      <c r="L42" s="533"/>
      <c r="M42" s="533"/>
      <c r="N42" s="532"/>
      <c r="O42" s="516"/>
      <c r="P42" s="534"/>
      <c r="Q42" s="534"/>
      <c r="R42" s="535"/>
      <c r="S42" s="537"/>
    </row>
  </sheetData>
  <sheetProtection algorithmName="SHA-512" hashValue="fa0IVet+ZkI04rmphbPnNKtxPirNivxCeMvLIanNro2/IPje72GPv14jHdJlRkjvE3TgyOqgQvVsTZdOkg+yAA==" saltValue="D5CMjXf+8W6hzSqEddx9wA==" spinCount="100000" sheet="1" objects="1" scenarios="1" sort="0" autoFilter="0"/>
  <protectedRanges>
    <protectedRange sqref="B2" name="PERIODO"/>
  </protectedRanges>
  <mergeCells count="9">
    <mergeCell ref="D32:S32"/>
    <mergeCell ref="M2:N2"/>
    <mergeCell ref="N5:O5"/>
    <mergeCell ref="J4:M4"/>
    <mergeCell ref="L5:M5"/>
    <mergeCell ref="H6:I6"/>
    <mergeCell ref="L6:M6"/>
    <mergeCell ref="F4:I4"/>
    <mergeCell ref="H5:I5"/>
  </mergeCells>
  <conditionalFormatting sqref="I8:I30">
    <cfRule type="iconSet" priority="2">
      <iconSet showValue="0">
        <cfvo type="percent" val="0"/>
        <cfvo type="num" val="0.95"/>
        <cfvo type="num" val="1"/>
      </iconSet>
    </cfRule>
  </conditionalFormatting>
  <conditionalFormatting sqref="M8:M30">
    <cfRule type="iconSet" priority="1">
      <iconSet showValue="0">
        <cfvo type="percent" val="0"/>
        <cfvo type="num" val="0.95"/>
        <cfvo type="num" val="1"/>
      </iconSet>
    </cfRule>
  </conditionalFormatting>
  <printOptions horizontalCentered="1"/>
  <pageMargins left="0.11811023622047245" right="0.15748031496062992" top="0.15748031496062992" bottom="0.15748031496062992" header="7.874015748031496E-2" footer="7.874015748031496E-2"/>
  <pageSetup paperSize="8" scale="99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outlinePr summaryBelow="0"/>
    <pageSetUpPr fitToPage="1"/>
  </sheetPr>
  <dimension ref="B1:AB108"/>
  <sheetViews>
    <sheetView showGridLines="0" zoomScale="86" zoomScaleNormal="86" workbookViewId="0">
      <pane xSplit="9" ySplit="7" topLeftCell="J8" activePane="bottomRight" state="frozen"/>
      <selection activeCell="A3" sqref="A3"/>
      <selection pane="topRight" activeCell="I3" sqref="I3"/>
      <selection pane="bottomLeft" activeCell="A9" sqref="A9"/>
      <selection pane="bottomRight" activeCell="D43" sqref="D43"/>
    </sheetView>
  </sheetViews>
  <sheetFormatPr baseColWidth="10" defaultColWidth="12" defaultRowHeight="12.9" outlineLevelRow="1" outlineLevelCol="1"/>
  <cols>
    <col min="1" max="1" width="1.3828125" style="23" customWidth="1"/>
    <col min="2" max="2" width="9" style="31" hidden="1" customWidth="1"/>
    <col min="3" max="3" width="13.53515625" style="18" hidden="1" customWidth="1"/>
    <col min="4" max="4" width="47.69140625" style="22" customWidth="1"/>
    <col min="5" max="5" width="9.15234375" style="26" bestFit="1" customWidth="1"/>
    <col min="6" max="6" width="12" style="19" customWidth="1"/>
    <col min="7" max="7" width="11.53515625" style="19" customWidth="1"/>
    <col min="8" max="8" width="7.3046875" style="28" customWidth="1"/>
    <col min="9" max="9" width="3.69140625" style="21" customWidth="1"/>
    <col min="10" max="10" width="12.3046875" style="19" customWidth="1"/>
    <col min="11" max="11" width="12.53515625" style="19" customWidth="1"/>
    <col min="12" max="12" width="7.3046875" style="28" customWidth="1"/>
    <col min="13" max="13" width="3.69140625" style="21" customWidth="1"/>
    <col min="14" max="14" width="13.69140625" style="25" customWidth="1" collapsed="1"/>
    <col min="15" max="15" width="11.15234375" style="22" hidden="1" customWidth="1" outlineLevel="1"/>
    <col min="16" max="16" width="10.69140625" style="22" hidden="1" customWidth="1" outlineLevel="1"/>
    <col min="17" max="17" width="7.3046875" style="28" hidden="1" customWidth="1" outlineLevel="1"/>
    <col min="18" max="18" width="3.3046875" style="19" hidden="1" customWidth="1" outlineLevel="1"/>
    <col min="19" max="19" width="9" style="26" hidden="1" customWidth="1" collapsed="1"/>
    <col min="20" max="20" width="6.3828125" style="24" hidden="1" customWidth="1"/>
    <col min="21" max="21" width="1.15234375" style="116" customWidth="1"/>
    <col min="22" max="22" width="36.53515625" style="30" customWidth="1"/>
    <col min="23" max="23" width="36.53515625" style="29" customWidth="1"/>
    <col min="24" max="24" width="9.15234375" style="111" hidden="1" customWidth="1"/>
    <col min="25" max="25" width="5.69140625" style="25" hidden="1" customWidth="1"/>
    <col min="26" max="26" width="6.53515625" style="25" hidden="1" customWidth="1"/>
    <col min="27" max="27" width="12.3828125" style="23" hidden="1" customWidth="1"/>
    <col min="28" max="28" width="12" style="23" hidden="1" customWidth="1"/>
    <col min="29" max="16384" width="12" style="23"/>
  </cols>
  <sheetData>
    <row r="1" spans="2:28" s="47" customFormat="1" ht="14.6">
      <c r="B1" s="143"/>
      <c r="C1" s="52"/>
      <c r="D1" s="154" t="s">
        <v>3</v>
      </c>
      <c r="E1" s="103"/>
      <c r="F1" s="144"/>
      <c r="G1" s="145"/>
      <c r="H1" s="146"/>
      <c r="I1" s="147"/>
      <c r="J1" s="54"/>
      <c r="M1" s="144"/>
      <c r="N1" s="153"/>
      <c r="O1" s="66"/>
      <c r="P1" s="45"/>
      <c r="R1" s="46"/>
      <c r="T1" s="98"/>
      <c r="U1" s="247"/>
      <c r="V1" s="48"/>
      <c r="W1" s="36"/>
      <c r="X1" s="36"/>
    </row>
    <row r="2" spans="2:28" s="47" customFormat="1" ht="18.45">
      <c r="B2" s="148"/>
      <c r="C2" s="44"/>
      <c r="D2" s="155" t="s">
        <v>178</v>
      </c>
      <c r="E2" s="149"/>
      <c r="F2" s="149"/>
      <c r="H2" s="150"/>
      <c r="I2" s="151"/>
      <c r="J2" s="152"/>
      <c r="M2" s="799" t="str">
        <f>F4</f>
        <v>Semana No 46</v>
      </c>
      <c r="N2" s="799"/>
      <c r="O2" s="66"/>
      <c r="P2" s="45"/>
      <c r="R2" s="46"/>
      <c r="T2" s="98"/>
      <c r="U2" s="247"/>
      <c r="V2" s="48"/>
      <c r="W2" s="36"/>
      <c r="X2" s="36"/>
    </row>
    <row r="3" spans="2:28" s="47" customFormat="1" ht="3.75" customHeight="1" thickBot="1">
      <c r="B3" s="69"/>
      <c r="C3" s="70"/>
      <c r="D3" s="71"/>
      <c r="E3" s="72"/>
      <c r="F3" s="73"/>
      <c r="G3" s="73"/>
      <c r="H3" s="74"/>
      <c r="I3" s="75"/>
      <c r="J3" s="73"/>
      <c r="K3" s="76"/>
      <c r="L3" s="74"/>
      <c r="M3" s="137"/>
      <c r="N3" s="156" t="str">
        <f>F4</f>
        <v>Semana No 46</v>
      </c>
      <c r="O3" s="74"/>
      <c r="P3" s="74"/>
      <c r="Q3" s="74"/>
      <c r="R3" s="74"/>
      <c r="T3" s="48"/>
      <c r="U3" s="112"/>
      <c r="V3" s="46"/>
      <c r="X3" s="108"/>
    </row>
    <row r="4" spans="2:28" s="68" customFormat="1" ht="15" thickTop="1">
      <c r="B4" s="82"/>
      <c r="C4" s="50"/>
      <c r="D4" s="83" t="s">
        <v>72</v>
      </c>
      <c r="E4" s="96"/>
      <c r="F4" s="796" t="s">
        <v>340</v>
      </c>
      <c r="G4" s="796"/>
      <c r="H4" s="796"/>
      <c r="I4" s="796"/>
      <c r="J4" s="793" t="s">
        <v>42</v>
      </c>
      <c r="K4" s="793"/>
      <c r="L4" s="793"/>
      <c r="M4" s="793"/>
      <c r="N4" s="91" t="s">
        <v>168</v>
      </c>
      <c r="O4" s="798" t="s">
        <v>43</v>
      </c>
      <c r="P4" s="798"/>
      <c r="Q4" s="798"/>
      <c r="R4" s="798"/>
      <c r="T4" s="85"/>
      <c r="U4" s="113"/>
      <c r="V4" s="84"/>
      <c r="W4" s="36"/>
      <c r="X4" s="109"/>
    </row>
    <row r="5" spans="2:28" s="68" customFormat="1" ht="15" thickBot="1">
      <c r="B5" s="86"/>
      <c r="C5" s="87"/>
      <c r="D5" s="88"/>
      <c r="E5" s="97"/>
      <c r="F5" s="81">
        <v>43413</v>
      </c>
      <c r="G5" s="77" t="s">
        <v>69</v>
      </c>
      <c r="H5" s="794">
        <v>43419</v>
      </c>
      <c r="I5" s="794"/>
      <c r="J5" s="77">
        <v>43405</v>
      </c>
      <c r="K5" s="78" t="s">
        <v>69</v>
      </c>
      <c r="L5" s="794">
        <v>43419</v>
      </c>
      <c r="M5" s="800"/>
      <c r="N5" s="159" t="s">
        <v>341</v>
      </c>
      <c r="O5" s="120">
        <v>43374</v>
      </c>
      <c r="P5" s="77" t="s">
        <v>69</v>
      </c>
      <c r="Q5" s="794">
        <v>43419</v>
      </c>
      <c r="R5" s="794"/>
      <c r="S5" s="90"/>
      <c r="T5" s="85"/>
      <c r="U5" s="113"/>
      <c r="V5" s="89"/>
      <c r="W5" s="37"/>
      <c r="X5" s="109"/>
    </row>
    <row r="6" spans="2:28" s="52" customFormat="1" ht="15" thickTop="1">
      <c r="B6" s="59" t="s">
        <v>67</v>
      </c>
      <c r="C6" s="50"/>
      <c r="D6" s="51" t="s">
        <v>6</v>
      </c>
      <c r="E6" s="52" t="s">
        <v>0</v>
      </c>
      <c r="F6" s="52" t="s">
        <v>7</v>
      </c>
      <c r="G6" s="52" t="s">
        <v>29</v>
      </c>
      <c r="H6" s="795" t="s">
        <v>68</v>
      </c>
      <c r="I6" s="795"/>
      <c r="J6" s="52" t="s">
        <v>7</v>
      </c>
      <c r="K6" s="52" t="s">
        <v>29</v>
      </c>
      <c r="L6" s="795" t="s">
        <v>68</v>
      </c>
      <c r="M6" s="795"/>
      <c r="N6" s="65" t="s">
        <v>71</v>
      </c>
      <c r="O6" s="52" t="s">
        <v>7</v>
      </c>
      <c r="P6" s="52" t="s">
        <v>29</v>
      </c>
      <c r="Q6" s="795" t="s">
        <v>68</v>
      </c>
      <c r="R6" s="795"/>
      <c r="S6" s="57"/>
      <c r="T6" s="59"/>
      <c r="U6" s="248"/>
      <c r="V6" s="118" t="s">
        <v>18</v>
      </c>
      <c r="W6" s="121" t="s">
        <v>9</v>
      </c>
      <c r="AA6" s="117"/>
    </row>
    <row r="7" spans="2:28" s="103" customFormat="1" ht="15" hidden="1" customHeight="1">
      <c r="B7" s="104" t="s">
        <v>6</v>
      </c>
      <c r="C7" s="105" t="s">
        <v>11</v>
      </c>
      <c r="D7" s="66" t="s">
        <v>5</v>
      </c>
      <c r="E7" s="103" t="s">
        <v>10</v>
      </c>
      <c r="F7" s="53" t="s">
        <v>7</v>
      </c>
      <c r="G7" s="54" t="s">
        <v>29</v>
      </c>
      <c r="H7" s="54" t="s">
        <v>12</v>
      </c>
      <c r="I7" s="54" t="s">
        <v>13</v>
      </c>
      <c r="J7" s="55" t="s">
        <v>14</v>
      </c>
      <c r="K7" s="55" t="s">
        <v>30</v>
      </c>
      <c r="L7" s="106" t="s">
        <v>16</v>
      </c>
      <c r="M7" s="54" t="s">
        <v>17</v>
      </c>
      <c r="N7" s="54" t="s">
        <v>31</v>
      </c>
      <c r="O7" s="51" t="s">
        <v>32</v>
      </c>
      <c r="P7" s="51" t="s">
        <v>33</v>
      </c>
      <c r="Q7" s="54" t="s">
        <v>34</v>
      </c>
      <c r="R7" s="54" t="s">
        <v>35</v>
      </c>
      <c r="S7" s="101" t="s">
        <v>19</v>
      </c>
      <c r="T7" s="101" t="s">
        <v>20</v>
      </c>
      <c r="U7" s="114" t="s">
        <v>21</v>
      </c>
      <c r="V7" s="107" t="s">
        <v>18</v>
      </c>
      <c r="W7" s="119" t="s">
        <v>9</v>
      </c>
      <c r="X7" s="110" t="s">
        <v>22</v>
      </c>
      <c r="Y7" s="101" t="s">
        <v>23</v>
      </c>
      <c r="Z7" s="101" t="s">
        <v>27</v>
      </c>
      <c r="AA7" s="101" t="s">
        <v>82</v>
      </c>
      <c r="AB7" s="101" t="s">
        <v>86</v>
      </c>
    </row>
    <row r="8" spans="2:28" s="39" customFormat="1" ht="14.6">
      <c r="B8" s="173" t="s">
        <v>45</v>
      </c>
      <c r="C8" s="172"/>
      <c r="D8" s="201" t="s">
        <v>104</v>
      </c>
      <c r="E8" s="202" t="s">
        <v>24</v>
      </c>
      <c r="F8" s="168"/>
      <c r="G8" s="168"/>
      <c r="H8" s="169"/>
      <c r="I8" s="170"/>
      <c r="J8" s="168"/>
      <c r="K8" s="168"/>
      <c r="L8" s="169"/>
      <c r="M8" s="170"/>
      <c r="N8" s="175"/>
      <c r="O8" s="203"/>
      <c r="P8" s="203"/>
      <c r="Q8" s="169"/>
      <c r="R8" s="204"/>
      <c r="S8" s="205" t="s">
        <v>25</v>
      </c>
      <c r="T8" s="205"/>
      <c r="U8" s="115">
        <v>0</v>
      </c>
      <c r="V8" s="94"/>
      <c r="W8" s="94"/>
      <c r="X8" s="100"/>
      <c r="Y8" s="38" t="s">
        <v>24</v>
      </c>
      <c r="Z8" s="38" t="s">
        <v>24</v>
      </c>
      <c r="AA8" s="38">
        <v>0</v>
      </c>
      <c r="AB8" s="38"/>
    </row>
    <row r="9" spans="2:28" s="39" customFormat="1" ht="14.6">
      <c r="B9" s="190" t="s">
        <v>337</v>
      </c>
      <c r="C9" s="206"/>
      <c r="D9" s="207" t="s">
        <v>342</v>
      </c>
      <c r="E9" s="196" t="s">
        <v>64</v>
      </c>
      <c r="F9" s="542">
        <v>0</v>
      </c>
      <c r="G9" s="543">
        <v>0</v>
      </c>
      <c r="H9" s="183">
        <v>1</v>
      </c>
      <c r="I9" s="181">
        <v>1</v>
      </c>
      <c r="J9" s="542">
        <v>0</v>
      </c>
      <c r="K9" s="543">
        <v>0</v>
      </c>
      <c r="L9" s="183">
        <v>1</v>
      </c>
      <c r="M9" s="181">
        <v>1</v>
      </c>
      <c r="N9" s="554">
        <v>0</v>
      </c>
      <c r="O9" s="543">
        <v>0</v>
      </c>
      <c r="P9" s="543">
        <v>0</v>
      </c>
      <c r="Q9" s="183">
        <v>1</v>
      </c>
      <c r="R9" s="208">
        <v>1</v>
      </c>
      <c r="S9" s="199" t="s">
        <v>26</v>
      </c>
      <c r="T9" s="199"/>
      <c r="U9" s="115">
        <v>2</v>
      </c>
      <c r="V9" s="185" t="s">
        <v>24</v>
      </c>
      <c r="W9" s="185" t="s">
        <v>24</v>
      </c>
      <c r="X9" s="100"/>
      <c r="Y9" s="38" t="s">
        <v>24</v>
      </c>
      <c r="Z9" s="38" t="s">
        <v>24</v>
      </c>
      <c r="AA9" s="38">
        <v>0</v>
      </c>
      <c r="AB9" s="38"/>
    </row>
    <row r="10" spans="2:28" s="39" customFormat="1" ht="14.6">
      <c r="B10" s="180" t="s">
        <v>343</v>
      </c>
      <c r="C10" s="209"/>
      <c r="D10" s="210" t="s">
        <v>344</v>
      </c>
      <c r="E10" s="197" t="s">
        <v>64</v>
      </c>
      <c r="F10" s="592">
        <v>0</v>
      </c>
      <c r="G10" s="593">
        <v>0</v>
      </c>
      <c r="H10" s="178">
        <v>1</v>
      </c>
      <c r="I10" s="176">
        <v>1</v>
      </c>
      <c r="J10" s="592">
        <v>0</v>
      </c>
      <c r="K10" s="593">
        <v>0</v>
      </c>
      <c r="L10" s="178">
        <v>1</v>
      </c>
      <c r="M10" s="176">
        <v>1</v>
      </c>
      <c r="N10" s="594">
        <v>0</v>
      </c>
      <c r="O10" s="593">
        <v>0</v>
      </c>
      <c r="P10" s="593">
        <v>0</v>
      </c>
      <c r="Q10" s="178">
        <v>1</v>
      </c>
      <c r="R10" s="211">
        <v>1</v>
      </c>
      <c r="S10" s="212" t="s">
        <v>56</v>
      </c>
      <c r="T10" s="212"/>
      <c r="U10" s="115">
        <v>2</v>
      </c>
      <c r="V10" s="185" t="s">
        <v>24</v>
      </c>
      <c r="W10" s="185" t="s">
        <v>24</v>
      </c>
      <c r="X10" s="100"/>
      <c r="Y10" s="38" t="s">
        <v>24</v>
      </c>
      <c r="Z10" s="38" t="s">
        <v>24</v>
      </c>
      <c r="AA10" s="38">
        <v>0</v>
      </c>
      <c r="AB10" s="38"/>
    </row>
    <row r="11" spans="2:28" s="39" customFormat="1" ht="14.6">
      <c r="B11" s="190" t="s">
        <v>345</v>
      </c>
      <c r="C11" s="206"/>
      <c r="D11" s="207" t="s">
        <v>346</v>
      </c>
      <c r="E11" s="196" t="s">
        <v>64</v>
      </c>
      <c r="F11" s="542">
        <v>0</v>
      </c>
      <c r="G11" s="543">
        <v>0</v>
      </c>
      <c r="H11" s="183">
        <v>1</v>
      </c>
      <c r="I11" s="181">
        <v>1</v>
      </c>
      <c r="J11" s="542">
        <v>0</v>
      </c>
      <c r="K11" s="543">
        <v>0</v>
      </c>
      <c r="L11" s="183">
        <v>1</v>
      </c>
      <c r="M11" s="181">
        <v>1</v>
      </c>
      <c r="N11" s="554">
        <v>0</v>
      </c>
      <c r="O11" s="543">
        <v>0</v>
      </c>
      <c r="P11" s="543">
        <v>0</v>
      </c>
      <c r="Q11" s="183">
        <v>1</v>
      </c>
      <c r="R11" s="208">
        <v>1</v>
      </c>
      <c r="S11" s="199" t="s">
        <v>26</v>
      </c>
      <c r="T11" s="199"/>
      <c r="U11" s="115">
        <v>2</v>
      </c>
      <c r="V11" s="185" t="s">
        <v>24</v>
      </c>
      <c r="W11" s="185" t="s">
        <v>24</v>
      </c>
      <c r="X11" s="100"/>
      <c r="Y11" s="38" t="s">
        <v>24</v>
      </c>
      <c r="Z11" s="38" t="s">
        <v>24</v>
      </c>
      <c r="AA11" s="38">
        <v>0</v>
      </c>
      <c r="AB11" s="38"/>
    </row>
    <row r="12" spans="2:28" s="39" customFormat="1" ht="14.6">
      <c r="B12" s="173" t="s">
        <v>47</v>
      </c>
      <c r="C12" s="213"/>
      <c r="D12" s="214" t="s">
        <v>48</v>
      </c>
      <c r="E12" s="195" t="s">
        <v>24</v>
      </c>
      <c r="F12" s="168"/>
      <c r="G12" s="168"/>
      <c r="H12" s="169"/>
      <c r="I12" s="167"/>
      <c r="J12" s="168"/>
      <c r="K12" s="168"/>
      <c r="L12" s="169"/>
      <c r="M12" s="167"/>
      <c r="N12" s="175"/>
      <c r="O12" s="168"/>
      <c r="P12" s="168"/>
      <c r="Q12" s="169"/>
      <c r="R12" s="215"/>
      <c r="S12" s="205" t="s">
        <v>25</v>
      </c>
      <c r="T12" s="205"/>
      <c r="U12" s="115">
        <v>2</v>
      </c>
      <c r="V12" s="94"/>
      <c r="W12" s="94"/>
      <c r="X12" s="100"/>
      <c r="Y12" s="38" t="s">
        <v>24</v>
      </c>
      <c r="Z12" s="38" t="s">
        <v>24</v>
      </c>
      <c r="AA12" s="38">
        <v>0</v>
      </c>
      <c r="AB12" s="38"/>
    </row>
    <row r="13" spans="2:28" s="39" customFormat="1" ht="14.6">
      <c r="B13" s="230" t="s">
        <v>49</v>
      </c>
      <c r="C13" s="231"/>
      <c r="D13" s="232" t="s">
        <v>50</v>
      </c>
      <c r="E13" s="238" t="s">
        <v>64</v>
      </c>
      <c r="F13" s="239">
        <v>0</v>
      </c>
      <c r="G13" s="223">
        <v>0</v>
      </c>
      <c r="H13" s="224">
        <v>1</v>
      </c>
      <c r="I13" s="222">
        <v>1</v>
      </c>
      <c r="J13" s="239">
        <v>0</v>
      </c>
      <c r="K13" s="223">
        <v>0</v>
      </c>
      <c r="L13" s="224">
        <v>1</v>
      </c>
      <c r="M13" s="222">
        <v>1</v>
      </c>
      <c r="N13" s="240">
        <v>0</v>
      </c>
      <c r="O13" s="223">
        <v>0</v>
      </c>
      <c r="P13" s="223">
        <v>0</v>
      </c>
      <c r="Q13" s="224">
        <v>1</v>
      </c>
      <c r="R13" s="233">
        <v>1</v>
      </c>
      <c r="S13" s="225" t="s">
        <v>26</v>
      </c>
      <c r="T13" s="225"/>
      <c r="U13" s="115">
        <v>0</v>
      </c>
      <c r="V13" s="185" t="s">
        <v>24</v>
      </c>
      <c r="W13" s="185" t="s">
        <v>24</v>
      </c>
      <c r="X13" s="100"/>
      <c r="Y13" s="38" t="s">
        <v>24</v>
      </c>
      <c r="Z13" s="38" t="s">
        <v>24</v>
      </c>
      <c r="AA13" s="38">
        <v>0</v>
      </c>
      <c r="AB13" s="38"/>
    </row>
    <row r="14" spans="2:28" s="39" customFormat="1" ht="14.6">
      <c r="B14" s="173" t="s">
        <v>51</v>
      </c>
      <c r="C14" s="213"/>
      <c r="D14" s="214" t="s">
        <v>106</v>
      </c>
      <c r="E14" s="195" t="s">
        <v>24</v>
      </c>
      <c r="F14" s="168"/>
      <c r="G14" s="168"/>
      <c r="H14" s="169"/>
      <c r="I14" s="167"/>
      <c r="J14" s="168"/>
      <c r="K14" s="168"/>
      <c r="L14" s="169"/>
      <c r="M14" s="167"/>
      <c r="N14" s="175"/>
      <c r="O14" s="168"/>
      <c r="P14" s="168"/>
      <c r="Q14" s="169"/>
      <c r="R14" s="215"/>
      <c r="S14" s="205" t="s">
        <v>25</v>
      </c>
      <c r="T14" s="205"/>
      <c r="U14" s="115">
        <v>0</v>
      </c>
      <c r="V14" s="94"/>
      <c r="W14" s="94"/>
      <c r="X14" s="100"/>
      <c r="Y14" s="38" t="s">
        <v>24</v>
      </c>
      <c r="Z14" s="38" t="s">
        <v>24</v>
      </c>
      <c r="AA14" s="38">
        <v>0</v>
      </c>
      <c r="AB14" s="38"/>
    </row>
    <row r="15" spans="2:28" s="39" customFormat="1" ht="14.6" collapsed="1">
      <c r="B15" s="230" t="s">
        <v>52</v>
      </c>
      <c r="C15" s="231"/>
      <c r="D15" s="232" t="s">
        <v>212</v>
      </c>
      <c r="E15" s="238" t="s">
        <v>213</v>
      </c>
      <c r="F15" s="239">
        <v>1072.5073441</v>
      </c>
      <c r="G15" s="223">
        <v>1005.0528936344059</v>
      </c>
      <c r="H15" s="224">
        <v>1.0671200000000001</v>
      </c>
      <c r="I15" s="222">
        <v>1</v>
      </c>
      <c r="J15" s="239">
        <v>2238.008037095809</v>
      </c>
      <c r="K15" s="223">
        <v>2200.6089827285068</v>
      </c>
      <c r="L15" s="224">
        <v>1.0169900000000001</v>
      </c>
      <c r="M15" s="222">
        <v>1</v>
      </c>
      <c r="N15" s="240">
        <v>4004.9999999999986</v>
      </c>
      <c r="O15" s="223">
        <v>6684.9380370958079</v>
      </c>
      <c r="P15" s="223">
        <v>6620.6089827285123</v>
      </c>
      <c r="Q15" s="224">
        <v>1.00972</v>
      </c>
      <c r="R15" s="233">
        <v>1</v>
      </c>
      <c r="S15" s="225" t="s">
        <v>26</v>
      </c>
      <c r="T15" s="225"/>
      <c r="U15" s="115">
        <v>0</v>
      </c>
      <c r="V15" s="185"/>
      <c r="W15" s="185"/>
      <c r="X15" s="100"/>
      <c r="Y15" s="38" t="s">
        <v>24</v>
      </c>
      <c r="Z15" s="38" t="s">
        <v>24</v>
      </c>
      <c r="AA15" s="38">
        <v>0</v>
      </c>
      <c r="AB15" s="38"/>
    </row>
    <row r="16" spans="2:28" s="39" customFormat="1" ht="14.6">
      <c r="B16" s="234" t="s">
        <v>54</v>
      </c>
      <c r="C16" s="235"/>
      <c r="D16" s="236" t="s">
        <v>214</v>
      </c>
      <c r="E16" s="241" t="s">
        <v>55</v>
      </c>
      <c r="F16" s="521">
        <v>0.3899538109268551</v>
      </c>
      <c r="G16" s="520">
        <v>0.39370705485336593</v>
      </c>
      <c r="H16" s="228">
        <v>0.99046999999999996</v>
      </c>
      <c r="I16" s="226">
        <v>0.95</v>
      </c>
      <c r="J16" s="521">
        <v>0.38621925049339167</v>
      </c>
      <c r="K16" s="520">
        <v>0.39370705485336593</v>
      </c>
      <c r="L16" s="228">
        <v>0.98097999999999996</v>
      </c>
      <c r="M16" s="226">
        <v>0.95</v>
      </c>
      <c r="N16" s="522">
        <v>0.39370705485336599</v>
      </c>
      <c r="O16" s="520">
        <v>0.38310897909204122</v>
      </c>
      <c r="P16" s="520">
        <v>0.38460410908453857</v>
      </c>
      <c r="Q16" s="228">
        <v>0.99611000000000005</v>
      </c>
      <c r="R16" s="237">
        <v>0.95</v>
      </c>
      <c r="S16" s="229" t="s">
        <v>56</v>
      </c>
      <c r="T16" s="229"/>
      <c r="U16" s="115">
        <v>2</v>
      </c>
      <c r="V16" s="185"/>
      <c r="W16" s="185"/>
      <c r="X16" s="100"/>
      <c r="Y16" s="38" t="s">
        <v>24</v>
      </c>
      <c r="Z16" s="38" t="s">
        <v>24</v>
      </c>
      <c r="AA16" s="38">
        <v>0</v>
      </c>
      <c r="AB16" s="38"/>
    </row>
    <row r="17" spans="2:28" s="39" customFormat="1" ht="14.6">
      <c r="B17" s="230" t="s">
        <v>57</v>
      </c>
      <c r="C17" s="231"/>
      <c r="D17" s="232" t="s">
        <v>347</v>
      </c>
      <c r="E17" s="238" t="s">
        <v>53</v>
      </c>
      <c r="F17" s="239">
        <v>418.22832607883481</v>
      </c>
      <c r="G17" s="223">
        <v>395.6964147246569</v>
      </c>
      <c r="H17" s="224">
        <v>1.05694</v>
      </c>
      <c r="I17" s="222">
        <v>1</v>
      </c>
      <c r="J17" s="239">
        <v>864.36178668533114</v>
      </c>
      <c r="K17" s="223">
        <v>866.39528147390342</v>
      </c>
      <c r="L17" s="224">
        <v>0.99765000000000004</v>
      </c>
      <c r="M17" s="222">
        <v>0.95</v>
      </c>
      <c r="N17" s="240">
        <v>1576.796754687731</v>
      </c>
      <c r="O17" s="223">
        <v>2561.0597866853282</v>
      </c>
      <c r="P17" s="223">
        <v>2546.3134193993947</v>
      </c>
      <c r="Q17" s="224">
        <v>1.00579</v>
      </c>
      <c r="R17" s="233">
        <v>1</v>
      </c>
      <c r="S17" s="225" t="s">
        <v>26</v>
      </c>
      <c r="T17" s="225"/>
      <c r="U17" s="115">
        <v>0</v>
      </c>
      <c r="V17" s="185"/>
      <c r="W17" s="185"/>
      <c r="X17" s="100"/>
      <c r="Y17" s="38" t="s">
        <v>24</v>
      </c>
      <c r="Z17" s="38" t="s">
        <v>24</v>
      </c>
      <c r="AA17" s="38">
        <v>0</v>
      </c>
      <c r="AB17" s="38"/>
    </row>
    <row r="18" spans="2:28" s="39" customFormat="1" ht="24">
      <c r="B18" s="392" t="s">
        <v>58</v>
      </c>
      <c r="C18" s="595"/>
      <c r="D18" s="596" t="s">
        <v>215</v>
      </c>
      <c r="E18" s="569" t="s">
        <v>216</v>
      </c>
      <c r="F18" s="570">
        <v>481.89599999999967</v>
      </c>
      <c r="G18" s="567">
        <v>541.89786497178284</v>
      </c>
      <c r="H18" s="568">
        <v>0.88927</v>
      </c>
      <c r="I18" s="397">
        <v>0</v>
      </c>
      <c r="J18" s="570">
        <v>1035.9369999999997</v>
      </c>
      <c r="K18" s="567">
        <v>1095.4348707841868</v>
      </c>
      <c r="L18" s="568">
        <v>0.94569000000000003</v>
      </c>
      <c r="M18" s="397">
        <v>0</v>
      </c>
      <c r="N18" s="571">
        <v>2649.9999999999991</v>
      </c>
      <c r="O18" s="567">
        <v>3520.1099999999992</v>
      </c>
      <c r="P18" s="567">
        <v>3755.4348707841864</v>
      </c>
      <c r="Q18" s="568">
        <v>0.93733999999999995</v>
      </c>
      <c r="R18" s="399">
        <v>0</v>
      </c>
      <c r="S18" s="597" t="s">
        <v>56</v>
      </c>
      <c r="T18" s="597">
        <v>4</v>
      </c>
      <c r="U18" s="115">
        <v>0</v>
      </c>
      <c r="V18" s="185" t="s">
        <v>348</v>
      </c>
      <c r="W18" s="185" t="s">
        <v>349</v>
      </c>
      <c r="X18" s="100"/>
      <c r="Y18" s="38" t="s">
        <v>24</v>
      </c>
      <c r="Z18" s="38" t="s">
        <v>24</v>
      </c>
      <c r="AA18" s="38">
        <v>0</v>
      </c>
      <c r="AB18" s="38"/>
    </row>
    <row r="19" spans="2:28" s="39" customFormat="1" ht="14.6">
      <c r="B19" s="190" t="s">
        <v>83</v>
      </c>
      <c r="C19" s="206"/>
      <c r="D19" s="207" t="s">
        <v>217</v>
      </c>
      <c r="E19" s="196" t="s">
        <v>55</v>
      </c>
      <c r="F19" s="188">
        <v>1.297472E-2</v>
      </c>
      <c r="G19" s="187">
        <v>1.2999999999999999E-2</v>
      </c>
      <c r="H19" s="183">
        <v>0.99805999999999995</v>
      </c>
      <c r="I19" s="181">
        <v>0.95</v>
      </c>
      <c r="J19" s="188">
        <v>1.2974720000000004E-2</v>
      </c>
      <c r="K19" s="187">
        <v>1.2999999999999999E-2</v>
      </c>
      <c r="L19" s="183">
        <v>0.99805999999999995</v>
      </c>
      <c r="M19" s="181">
        <v>0.95</v>
      </c>
      <c r="N19" s="193">
        <v>1.300000000000001E-2</v>
      </c>
      <c r="O19" s="187">
        <v>1.3001939216399493E-2</v>
      </c>
      <c r="P19" s="187">
        <v>1.3000000000000003E-2</v>
      </c>
      <c r="Q19" s="183">
        <v>1.0001500000000001</v>
      </c>
      <c r="R19" s="208">
        <v>1</v>
      </c>
      <c r="S19" s="199" t="s">
        <v>26</v>
      </c>
      <c r="T19" s="199"/>
      <c r="U19" s="115">
        <v>2</v>
      </c>
      <c r="V19" s="185"/>
      <c r="W19" s="185"/>
      <c r="X19" s="100"/>
      <c r="Y19" s="38" t="s">
        <v>24</v>
      </c>
      <c r="Z19" s="38" t="s">
        <v>24</v>
      </c>
      <c r="AA19" s="38">
        <v>0</v>
      </c>
      <c r="AB19" s="38"/>
    </row>
    <row r="20" spans="2:28" s="39" customFormat="1" ht="14.6">
      <c r="B20" s="180" t="s">
        <v>84</v>
      </c>
      <c r="C20" s="209"/>
      <c r="D20" s="210" t="s">
        <v>347</v>
      </c>
      <c r="E20" s="197" t="s">
        <v>216</v>
      </c>
      <c r="F20" s="186">
        <v>6.2524656691200002</v>
      </c>
      <c r="G20" s="177">
        <v>7.0446722446331789</v>
      </c>
      <c r="H20" s="178">
        <v>0.88754999999999995</v>
      </c>
      <c r="I20" s="176">
        <v>0</v>
      </c>
      <c r="J20" s="186">
        <v>13.440992512639999</v>
      </c>
      <c r="K20" s="177">
        <v>14.24065332019447</v>
      </c>
      <c r="L20" s="178">
        <v>0.94384999999999997</v>
      </c>
      <c r="M20" s="176">
        <v>0</v>
      </c>
      <c r="N20" s="192">
        <v>34.450000000000003</v>
      </c>
      <c r="O20" s="177">
        <v>45.768256255040043</v>
      </c>
      <c r="P20" s="177">
        <v>48.820653320194467</v>
      </c>
      <c r="Q20" s="178">
        <v>0.93747999999999998</v>
      </c>
      <c r="R20" s="211">
        <v>0</v>
      </c>
      <c r="S20" s="212" t="s">
        <v>56</v>
      </c>
      <c r="T20" s="212"/>
      <c r="U20" s="115">
        <v>0</v>
      </c>
      <c r="V20" s="185"/>
      <c r="W20" s="185"/>
      <c r="X20" s="100"/>
      <c r="Y20" s="38" t="s">
        <v>24</v>
      </c>
      <c r="Z20" s="38" t="s">
        <v>24</v>
      </c>
      <c r="AA20" s="38">
        <v>0</v>
      </c>
      <c r="AB20" s="38"/>
    </row>
    <row r="21" spans="2:28" s="39" customFormat="1" ht="14.6">
      <c r="B21" s="351" t="s">
        <v>218</v>
      </c>
      <c r="C21" s="598"/>
      <c r="D21" s="599" t="s">
        <v>219</v>
      </c>
      <c r="E21" s="602" t="s">
        <v>216</v>
      </c>
      <c r="F21" s="603">
        <v>16.056000000000001</v>
      </c>
      <c r="G21" s="604">
        <v>15.401569179800999</v>
      </c>
      <c r="H21" s="600">
        <v>1.0424899999999999</v>
      </c>
      <c r="I21" s="356">
        <v>1</v>
      </c>
      <c r="J21" s="603">
        <v>37.14</v>
      </c>
      <c r="K21" s="604">
        <v>32.307745717488203</v>
      </c>
      <c r="L21" s="600">
        <v>1.14957</v>
      </c>
      <c r="M21" s="356">
        <v>1</v>
      </c>
      <c r="N21" s="605">
        <v>70.000000000000099</v>
      </c>
      <c r="O21" s="604">
        <v>131.59</v>
      </c>
      <c r="P21" s="604">
        <v>122.30829798658699</v>
      </c>
      <c r="Q21" s="600">
        <v>1.07589</v>
      </c>
      <c r="R21" s="358">
        <v>1</v>
      </c>
      <c r="S21" s="601" t="s">
        <v>26</v>
      </c>
      <c r="T21" s="601">
        <v>4</v>
      </c>
      <c r="U21" s="115">
        <v>0</v>
      </c>
      <c r="V21" s="185"/>
      <c r="W21" s="185"/>
      <c r="X21" s="100"/>
      <c r="Y21" s="38" t="s">
        <v>24</v>
      </c>
      <c r="Z21" s="38" t="s">
        <v>24</v>
      </c>
      <c r="AA21" s="38">
        <v>0</v>
      </c>
      <c r="AB21" s="38"/>
    </row>
    <row r="22" spans="2:28" s="39" customFormat="1" ht="14.6">
      <c r="B22" s="234" t="s">
        <v>59</v>
      </c>
      <c r="C22" s="235"/>
      <c r="D22" s="236" t="s">
        <v>220</v>
      </c>
      <c r="E22" s="241" t="s">
        <v>55</v>
      </c>
      <c r="F22" s="521">
        <v>0.15717607132536127</v>
      </c>
      <c r="G22" s="520">
        <v>0.15000000000000002</v>
      </c>
      <c r="H22" s="228">
        <v>1.0478400000000001</v>
      </c>
      <c r="I22" s="226">
        <v>1</v>
      </c>
      <c r="J22" s="521">
        <v>0.15592315568659124</v>
      </c>
      <c r="K22" s="520">
        <v>0.15</v>
      </c>
      <c r="L22" s="228">
        <v>1.03949</v>
      </c>
      <c r="M22" s="226">
        <v>1</v>
      </c>
      <c r="N22" s="522">
        <v>0.14999999999999988</v>
      </c>
      <c r="O22" s="520">
        <v>0.15721384438559166</v>
      </c>
      <c r="P22" s="520">
        <v>0.14999999999999997</v>
      </c>
      <c r="Q22" s="228">
        <v>1.04809</v>
      </c>
      <c r="R22" s="237">
        <v>1</v>
      </c>
      <c r="S22" s="229" t="s">
        <v>56</v>
      </c>
      <c r="T22" s="229"/>
      <c r="U22" s="115">
        <v>2</v>
      </c>
      <c r="V22" s="185"/>
      <c r="W22" s="185"/>
      <c r="X22" s="100"/>
      <c r="Y22" s="38" t="s">
        <v>24</v>
      </c>
      <c r="Z22" s="38" t="s">
        <v>24</v>
      </c>
      <c r="AA22" s="38">
        <v>0</v>
      </c>
      <c r="AB22" s="38"/>
    </row>
    <row r="23" spans="2:28" s="39" customFormat="1" ht="14.6">
      <c r="B23" s="230" t="s">
        <v>350</v>
      </c>
      <c r="C23" s="231"/>
      <c r="D23" s="232" t="s">
        <v>347</v>
      </c>
      <c r="E23" s="238" t="s">
        <v>216</v>
      </c>
      <c r="F23" s="239">
        <v>2.5236190011999966</v>
      </c>
      <c r="G23" s="223">
        <v>2.3102353769701498</v>
      </c>
      <c r="H23" s="224">
        <v>1.09236</v>
      </c>
      <c r="I23" s="222">
        <v>1</v>
      </c>
      <c r="J23" s="239">
        <v>5.7909860021999897</v>
      </c>
      <c r="K23" s="223">
        <v>4.8461618576232297</v>
      </c>
      <c r="L23" s="224">
        <v>1.19496</v>
      </c>
      <c r="M23" s="222">
        <v>1</v>
      </c>
      <c r="N23" s="240">
        <v>10.500000000000016</v>
      </c>
      <c r="O23" s="223">
        <v>20.687769782700052</v>
      </c>
      <c r="P23" s="223">
        <v>18.346244697988048</v>
      </c>
      <c r="Q23" s="224">
        <v>1.1276299999999999</v>
      </c>
      <c r="R23" s="233">
        <v>1</v>
      </c>
      <c r="S23" s="225" t="s">
        <v>26</v>
      </c>
      <c r="T23" s="225"/>
      <c r="U23" s="115">
        <v>0</v>
      </c>
      <c r="V23" s="185"/>
      <c r="W23" s="185"/>
      <c r="X23" s="100"/>
      <c r="Y23" s="38" t="s">
        <v>24</v>
      </c>
      <c r="Z23" s="38" t="s">
        <v>24</v>
      </c>
      <c r="AA23" s="38">
        <v>0</v>
      </c>
      <c r="AB23" s="38"/>
    </row>
    <row r="24" spans="2:28" s="39" customFormat="1" ht="14.6">
      <c r="B24" s="366" t="s">
        <v>221</v>
      </c>
      <c r="C24" s="606"/>
      <c r="D24" s="607" t="s">
        <v>222</v>
      </c>
      <c r="E24" s="611" t="s">
        <v>216</v>
      </c>
      <c r="F24" s="612">
        <v>60.646999999999998</v>
      </c>
      <c r="G24" s="608">
        <v>57.9869171249034</v>
      </c>
      <c r="H24" s="609">
        <v>1.0458700000000001</v>
      </c>
      <c r="I24" s="374">
        <v>1</v>
      </c>
      <c r="J24" s="612">
        <v>122.756</v>
      </c>
      <c r="K24" s="608">
        <v>120.714136820128</v>
      </c>
      <c r="L24" s="609">
        <v>1.01691</v>
      </c>
      <c r="M24" s="374">
        <v>1</v>
      </c>
      <c r="N24" s="613">
        <v>331.49750287471699</v>
      </c>
      <c r="O24" s="608">
        <v>459.54599999999999</v>
      </c>
      <c r="P24" s="608">
        <v>449.21408951177602</v>
      </c>
      <c r="Q24" s="609">
        <v>1.0229999999999999</v>
      </c>
      <c r="R24" s="376">
        <v>1</v>
      </c>
      <c r="S24" s="610" t="s">
        <v>56</v>
      </c>
      <c r="T24" s="610">
        <v>4</v>
      </c>
      <c r="U24" s="115">
        <v>0</v>
      </c>
      <c r="V24" s="185"/>
      <c r="W24" s="185"/>
      <c r="X24" s="100"/>
      <c r="Y24" s="38" t="s">
        <v>24</v>
      </c>
      <c r="Z24" s="38" t="s">
        <v>24</v>
      </c>
      <c r="AA24" s="38">
        <v>0</v>
      </c>
      <c r="AB24" s="38"/>
    </row>
    <row r="25" spans="2:28" s="39" customFormat="1" ht="14.6">
      <c r="B25" s="190" t="s">
        <v>107</v>
      </c>
      <c r="C25" s="206"/>
      <c r="D25" s="207" t="s">
        <v>223</v>
      </c>
      <c r="E25" s="196" t="s">
        <v>55</v>
      </c>
      <c r="F25" s="188">
        <v>0.63187265958744865</v>
      </c>
      <c r="G25" s="187">
        <v>0.64</v>
      </c>
      <c r="H25" s="183">
        <v>0.98729999999999996</v>
      </c>
      <c r="I25" s="181">
        <v>0.95</v>
      </c>
      <c r="J25" s="188">
        <v>0.63508807376421528</v>
      </c>
      <c r="K25" s="187">
        <v>0.63999999999999979</v>
      </c>
      <c r="L25" s="183">
        <v>0.99233000000000005</v>
      </c>
      <c r="M25" s="181">
        <v>0.95</v>
      </c>
      <c r="N25" s="193">
        <v>0.64</v>
      </c>
      <c r="O25" s="187">
        <v>0.63971001443489883</v>
      </c>
      <c r="P25" s="187">
        <v>0.64000000000000046</v>
      </c>
      <c r="Q25" s="183">
        <v>0.99955000000000005</v>
      </c>
      <c r="R25" s="208">
        <v>0.95</v>
      </c>
      <c r="S25" s="199" t="s">
        <v>26</v>
      </c>
      <c r="T25" s="199"/>
      <c r="U25" s="115">
        <v>2</v>
      </c>
      <c r="V25" s="185"/>
      <c r="W25" s="185"/>
      <c r="X25" s="100"/>
      <c r="Y25" s="38" t="s">
        <v>24</v>
      </c>
      <c r="Z25" s="38" t="s">
        <v>24</v>
      </c>
      <c r="AA25" s="38">
        <v>0</v>
      </c>
      <c r="AB25" s="38"/>
    </row>
    <row r="26" spans="2:28" s="39" customFormat="1" ht="14.6">
      <c r="B26" s="180" t="s">
        <v>351</v>
      </c>
      <c r="C26" s="209"/>
      <c r="D26" s="210" t="s">
        <v>347</v>
      </c>
      <c r="E26" s="197" t="s">
        <v>216</v>
      </c>
      <c r="F26" s="186">
        <v>38.321181186000018</v>
      </c>
      <c r="G26" s="177">
        <v>37.111626959938178</v>
      </c>
      <c r="H26" s="178">
        <v>1.0325899999999999</v>
      </c>
      <c r="I26" s="176">
        <v>1</v>
      </c>
      <c r="J26" s="186">
        <v>77.960871582999971</v>
      </c>
      <c r="K26" s="177">
        <v>77.257047564881915</v>
      </c>
      <c r="L26" s="178">
        <v>1.00911</v>
      </c>
      <c r="M26" s="176">
        <v>1</v>
      </c>
      <c r="N26" s="192">
        <v>212.15840183981888</v>
      </c>
      <c r="O26" s="177">
        <v>293.97617829350008</v>
      </c>
      <c r="P26" s="177">
        <v>287.49701728753666</v>
      </c>
      <c r="Q26" s="178">
        <v>1.02254</v>
      </c>
      <c r="R26" s="211">
        <v>1</v>
      </c>
      <c r="S26" s="212" t="s">
        <v>56</v>
      </c>
      <c r="T26" s="212"/>
      <c r="U26" s="115">
        <v>0</v>
      </c>
      <c r="V26" s="185"/>
      <c r="W26" s="185"/>
      <c r="X26" s="100"/>
      <c r="Y26" s="38" t="s">
        <v>24</v>
      </c>
      <c r="Z26" s="38" t="s">
        <v>24</v>
      </c>
      <c r="AA26" s="38">
        <v>0</v>
      </c>
      <c r="AB26" s="38"/>
    </row>
    <row r="27" spans="2:28" s="39" customFormat="1" ht="14.6">
      <c r="B27" s="351" t="s">
        <v>109</v>
      </c>
      <c r="C27" s="598"/>
      <c r="D27" s="599" t="s">
        <v>225</v>
      </c>
      <c r="E27" s="602" t="s">
        <v>216</v>
      </c>
      <c r="F27" s="603">
        <v>375.40120000000002</v>
      </c>
      <c r="G27" s="604">
        <v>350</v>
      </c>
      <c r="H27" s="600">
        <v>1.07257</v>
      </c>
      <c r="I27" s="356">
        <v>1</v>
      </c>
      <c r="J27" s="603">
        <v>738.38840000000005</v>
      </c>
      <c r="K27" s="604">
        <v>670.6</v>
      </c>
      <c r="L27" s="600">
        <v>1.1010899999999999</v>
      </c>
      <c r="M27" s="356">
        <v>1</v>
      </c>
      <c r="N27" s="605">
        <v>1524.6</v>
      </c>
      <c r="O27" s="604">
        <v>2330.7420000000002</v>
      </c>
      <c r="P27" s="604">
        <v>2305.8000000000002</v>
      </c>
      <c r="Q27" s="600">
        <v>1.0108200000000001</v>
      </c>
      <c r="R27" s="358">
        <v>1</v>
      </c>
      <c r="S27" s="601" t="s">
        <v>26</v>
      </c>
      <c r="T27" s="601">
        <v>4</v>
      </c>
      <c r="U27" s="115">
        <v>0</v>
      </c>
      <c r="V27" s="185"/>
      <c r="W27" s="185"/>
      <c r="X27" s="100"/>
      <c r="Y27" s="38" t="s">
        <v>24</v>
      </c>
      <c r="Z27" s="38" t="s">
        <v>24</v>
      </c>
      <c r="AA27" s="38">
        <v>0</v>
      </c>
      <c r="AB27" s="38"/>
    </row>
    <row r="28" spans="2:28" s="39" customFormat="1" ht="14.6" collapsed="1">
      <c r="B28" s="234" t="s">
        <v>110</v>
      </c>
      <c r="C28" s="235"/>
      <c r="D28" s="236" t="s">
        <v>226</v>
      </c>
      <c r="E28" s="241" t="s">
        <v>216</v>
      </c>
      <c r="F28" s="242">
        <v>0</v>
      </c>
      <c r="G28" s="227">
        <v>0</v>
      </c>
      <c r="H28" s="228">
        <v>1</v>
      </c>
      <c r="I28" s="226">
        <v>1</v>
      </c>
      <c r="J28" s="242">
        <v>0</v>
      </c>
      <c r="K28" s="227">
        <v>0</v>
      </c>
      <c r="L28" s="228">
        <v>1</v>
      </c>
      <c r="M28" s="226">
        <v>1</v>
      </c>
      <c r="N28" s="243">
        <v>15</v>
      </c>
      <c r="O28" s="227">
        <v>0</v>
      </c>
      <c r="P28" s="227">
        <v>0</v>
      </c>
      <c r="Q28" s="228">
        <v>1</v>
      </c>
      <c r="R28" s="237">
        <v>1</v>
      </c>
      <c r="S28" s="229" t="s">
        <v>56</v>
      </c>
      <c r="T28" s="229"/>
      <c r="U28" s="115">
        <v>0</v>
      </c>
      <c r="V28" s="185"/>
      <c r="W28" s="185"/>
      <c r="X28" s="100">
        <v>15001500</v>
      </c>
      <c r="Y28" s="38" t="s">
        <v>24</v>
      </c>
      <c r="Z28" s="38" t="s">
        <v>24</v>
      </c>
      <c r="AA28" s="38">
        <v>0</v>
      </c>
      <c r="AB28" s="38"/>
    </row>
    <row r="29" spans="2:28" s="39" customFormat="1" ht="14.6" hidden="1" outlineLevel="1">
      <c r="B29" s="230" t="s">
        <v>111</v>
      </c>
      <c r="C29" s="231"/>
      <c r="D29" s="232" t="s">
        <v>229</v>
      </c>
      <c r="E29" s="238" t="s">
        <v>53</v>
      </c>
      <c r="F29" s="239"/>
      <c r="G29" s="223"/>
      <c r="H29" s="224"/>
      <c r="I29" s="222"/>
      <c r="J29" s="239">
        <v>0</v>
      </c>
      <c r="K29" s="223"/>
      <c r="L29" s="224">
        <v>1</v>
      </c>
      <c r="M29" s="222">
        <v>1</v>
      </c>
      <c r="N29" s="240"/>
      <c r="O29" s="223">
        <v>0</v>
      </c>
      <c r="P29" s="223"/>
      <c r="Q29" s="224">
        <v>1</v>
      </c>
      <c r="R29" s="233">
        <v>1</v>
      </c>
      <c r="S29" s="225" t="s">
        <v>26</v>
      </c>
      <c r="T29" s="225"/>
      <c r="U29" s="115">
        <v>0</v>
      </c>
      <c r="V29" s="185"/>
      <c r="W29" s="185"/>
      <c r="X29" s="100">
        <v>15001500</v>
      </c>
      <c r="Y29" s="38" t="s">
        <v>24</v>
      </c>
      <c r="Z29" s="38" t="s">
        <v>24</v>
      </c>
      <c r="AA29" s="38">
        <v>0</v>
      </c>
      <c r="AB29" s="38"/>
    </row>
    <row r="30" spans="2:28" s="39" customFormat="1" ht="14.6" hidden="1" outlineLevel="1">
      <c r="B30" s="234" t="s">
        <v>232</v>
      </c>
      <c r="C30" s="235"/>
      <c r="D30" s="236" t="s">
        <v>233</v>
      </c>
      <c r="E30" s="241" t="s">
        <v>53</v>
      </c>
      <c r="F30" s="242"/>
      <c r="G30" s="227"/>
      <c r="H30" s="228"/>
      <c r="I30" s="226"/>
      <c r="J30" s="242">
        <v>0</v>
      </c>
      <c r="K30" s="227"/>
      <c r="L30" s="228">
        <v>1</v>
      </c>
      <c r="M30" s="226">
        <v>1</v>
      </c>
      <c r="N30" s="243"/>
      <c r="O30" s="227">
        <v>0</v>
      </c>
      <c r="P30" s="227"/>
      <c r="Q30" s="228">
        <v>1</v>
      </c>
      <c r="R30" s="237">
        <v>1</v>
      </c>
      <c r="S30" s="229" t="s">
        <v>56</v>
      </c>
      <c r="T30" s="229"/>
      <c r="U30" s="115">
        <v>0</v>
      </c>
      <c r="V30" s="185"/>
      <c r="W30" s="185"/>
      <c r="X30" s="100">
        <v>15001500</v>
      </c>
      <c r="Y30" s="38" t="s">
        <v>24</v>
      </c>
      <c r="Z30" s="38" t="s">
        <v>24</v>
      </c>
      <c r="AA30" s="38">
        <v>0</v>
      </c>
      <c r="AB30" s="38"/>
    </row>
    <row r="31" spans="2:28" s="39" customFormat="1" ht="14.6" hidden="1" outlineLevel="1">
      <c r="B31" s="230" t="s">
        <v>234</v>
      </c>
      <c r="C31" s="231"/>
      <c r="D31" s="232" t="s">
        <v>235</v>
      </c>
      <c r="E31" s="238" t="s">
        <v>53</v>
      </c>
      <c r="F31" s="239"/>
      <c r="G31" s="223"/>
      <c r="H31" s="224"/>
      <c r="I31" s="222"/>
      <c r="J31" s="239">
        <v>0</v>
      </c>
      <c r="K31" s="223"/>
      <c r="L31" s="224">
        <v>1</v>
      </c>
      <c r="M31" s="222">
        <v>1</v>
      </c>
      <c r="N31" s="240"/>
      <c r="O31" s="223">
        <v>0</v>
      </c>
      <c r="P31" s="223"/>
      <c r="Q31" s="224">
        <v>1</v>
      </c>
      <c r="R31" s="233">
        <v>1</v>
      </c>
      <c r="S31" s="225" t="s">
        <v>26</v>
      </c>
      <c r="T31" s="225"/>
      <c r="U31" s="115">
        <v>0</v>
      </c>
      <c r="V31" s="185"/>
      <c r="W31" s="185"/>
      <c r="X31" s="100">
        <v>15001500</v>
      </c>
      <c r="Y31" s="38" t="s">
        <v>24</v>
      </c>
      <c r="Z31" s="38" t="s">
        <v>24</v>
      </c>
      <c r="AA31" s="38">
        <v>0</v>
      </c>
      <c r="AB31" s="38"/>
    </row>
    <row r="32" spans="2:28" s="39" customFormat="1" ht="14.6">
      <c r="B32" s="173" t="s">
        <v>60</v>
      </c>
      <c r="C32" s="213"/>
      <c r="D32" s="214" t="s">
        <v>242</v>
      </c>
      <c r="E32" s="195" t="s">
        <v>24</v>
      </c>
      <c r="F32" s="168"/>
      <c r="G32" s="168"/>
      <c r="H32" s="169"/>
      <c r="I32" s="167"/>
      <c r="J32" s="168"/>
      <c r="K32" s="168"/>
      <c r="L32" s="169"/>
      <c r="M32" s="167"/>
      <c r="N32" s="175"/>
      <c r="O32" s="168"/>
      <c r="P32" s="168"/>
      <c r="Q32" s="169"/>
      <c r="R32" s="215"/>
      <c r="S32" s="205" t="s">
        <v>25</v>
      </c>
      <c r="T32" s="205"/>
      <c r="U32" s="115">
        <v>2</v>
      </c>
      <c r="V32" s="94"/>
      <c r="W32" s="94"/>
      <c r="X32" s="100"/>
      <c r="Y32" s="38" t="s">
        <v>24</v>
      </c>
      <c r="Z32" s="38" t="s">
        <v>24</v>
      </c>
      <c r="AA32" s="38">
        <v>0</v>
      </c>
      <c r="AB32" s="38"/>
    </row>
    <row r="33" spans="2:28" s="39" customFormat="1" ht="14.6">
      <c r="B33" s="230" t="s">
        <v>61</v>
      </c>
      <c r="C33" s="231"/>
      <c r="D33" s="232" t="s">
        <v>243</v>
      </c>
      <c r="E33" s="238" t="s">
        <v>216</v>
      </c>
      <c r="F33" s="239">
        <v>1008.82207475342</v>
      </c>
      <c r="G33" s="223">
        <v>1093.0438769140358</v>
      </c>
      <c r="H33" s="224">
        <v>0.92295000000000005</v>
      </c>
      <c r="I33" s="222">
        <v>1</v>
      </c>
      <c r="J33" s="239">
        <v>2089.4345755068471</v>
      </c>
      <c r="K33" s="223">
        <v>2342.2368791015047</v>
      </c>
      <c r="L33" s="224">
        <v>0.89207000000000003</v>
      </c>
      <c r="M33" s="222">
        <v>1</v>
      </c>
      <c r="N33" s="240">
        <v>4684.4737582030102</v>
      </c>
      <c r="O33" s="223">
        <v>6611.5490125068472</v>
      </c>
      <c r="P33" s="223">
        <v>7259.2199573522366</v>
      </c>
      <c r="Q33" s="224">
        <v>0.91078000000000003</v>
      </c>
      <c r="R33" s="233">
        <v>1</v>
      </c>
      <c r="S33" s="225" t="s">
        <v>26</v>
      </c>
      <c r="T33" s="225"/>
      <c r="U33" s="115">
        <v>0</v>
      </c>
      <c r="V33" s="185" t="s">
        <v>24</v>
      </c>
      <c r="W33" s="185" t="s">
        <v>24</v>
      </c>
      <c r="X33" s="100"/>
      <c r="Y33" s="38" t="s">
        <v>24</v>
      </c>
      <c r="Z33" s="38" t="s">
        <v>24</v>
      </c>
      <c r="AA33" s="38">
        <v>0</v>
      </c>
      <c r="AB33" s="38"/>
    </row>
    <row r="34" spans="2:28" s="39" customFormat="1" ht="14.6">
      <c r="B34" s="180" t="s">
        <v>62</v>
      </c>
      <c r="C34" s="209"/>
      <c r="D34" s="210" t="s">
        <v>244</v>
      </c>
      <c r="E34" s="197" t="s">
        <v>55</v>
      </c>
      <c r="F34" s="189">
        <v>5.6925241228070198E-3</v>
      </c>
      <c r="G34" s="179">
        <v>5.9999999999999993E-3</v>
      </c>
      <c r="H34" s="178">
        <v>0.94874999999999998</v>
      </c>
      <c r="I34" s="176">
        <v>1</v>
      </c>
      <c r="J34" s="189">
        <v>5.8205590232178811E-3</v>
      </c>
      <c r="K34" s="179">
        <v>6.0000000000000027E-3</v>
      </c>
      <c r="L34" s="178">
        <v>0.97009000000000001</v>
      </c>
      <c r="M34" s="176">
        <v>1</v>
      </c>
      <c r="N34" s="194">
        <v>5.9999999999999984E-3</v>
      </c>
      <c r="O34" s="179">
        <v>5.85301251650263E-3</v>
      </c>
      <c r="P34" s="179">
        <v>6.0000000000000019E-3</v>
      </c>
      <c r="Q34" s="178">
        <v>0.97550000000000003</v>
      </c>
      <c r="R34" s="211">
        <v>1</v>
      </c>
      <c r="S34" s="212" t="s">
        <v>56</v>
      </c>
      <c r="T34" s="212"/>
      <c r="U34" s="115">
        <v>2</v>
      </c>
      <c r="V34" s="185" t="s">
        <v>24</v>
      </c>
      <c r="W34" s="185" t="s">
        <v>24</v>
      </c>
      <c r="X34" s="100"/>
      <c r="Y34" s="38" t="s">
        <v>24</v>
      </c>
      <c r="Z34" s="38" t="s">
        <v>24</v>
      </c>
      <c r="AA34" s="38">
        <v>0</v>
      </c>
      <c r="AB34" s="38"/>
    </row>
    <row r="35" spans="2:28" s="39" customFormat="1" ht="14.6" collapsed="1">
      <c r="B35" s="230" t="s">
        <v>63</v>
      </c>
      <c r="C35" s="231"/>
      <c r="D35" s="232" t="s">
        <v>352</v>
      </c>
      <c r="E35" s="238" t="s">
        <v>216</v>
      </c>
      <c r="F35" s="239">
        <v>5.7427439961540703</v>
      </c>
      <c r="G35" s="223">
        <v>6.5582632614842398</v>
      </c>
      <c r="H35" s="224">
        <v>0.87565000000000004</v>
      </c>
      <c r="I35" s="222">
        <v>1</v>
      </c>
      <c r="J35" s="239">
        <v>12.161677271889818</v>
      </c>
      <c r="K35" s="223">
        <v>14.053421274609001</v>
      </c>
      <c r="L35" s="224">
        <v>0.86538999999999999</v>
      </c>
      <c r="M35" s="222">
        <v>1</v>
      </c>
      <c r="N35" s="240">
        <v>28.106842549218062</v>
      </c>
      <c r="O35" s="223">
        <v>38.697479123673197</v>
      </c>
      <c r="P35" s="223">
        <v>43.55531974411344</v>
      </c>
      <c r="Q35" s="224">
        <v>0.88846999999999998</v>
      </c>
      <c r="R35" s="233">
        <v>1</v>
      </c>
      <c r="S35" s="225" t="s">
        <v>26</v>
      </c>
      <c r="T35" s="225"/>
      <c r="U35" s="115">
        <v>0</v>
      </c>
      <c r="V35" s="185"/>
      <c r="W35" s="185"/>
      <c r="X35" s="100"/>
      <c r="Y35" s="38" t="s">
        <v>24</v>
      </c>
      <c r="Z35" s="38" t="s">
        <v>24</v>
      </c>
      <c r="AA35" s="38">
        <v>0</v>
      </c>
      <c r="AB35" s="38"/>
    </row>
    <row r="36" spans="2:28" s="39" customFormat="1" ht="14.6">
      <c r="B36" s="173" t="s">
        <v>88</v>
      </c>
      <c r="C36" s="213"/>
      <c r="D36" s="214" t="s">
        <v>245</v>
      </c>
      <c r="E36" s="195" t="s">
        <v>24</v>
      </c>
      <c r="F36" s="168"/>
      <c r="G36" s="168"/>
      <c r="H36" s="169"/>
      <c r="I36" s="167"/>
      <c r="J36" s="168"/>
      <c r="K36" s="168"/>
      <c r="L36" s="169"/>
      <c r="M36" s="167"/>
      <c r="N36" s="175"/>
      <c r="O36" s="168"/>
      <c r="P36" s="168"/>
      <c r="Q36" s="169"/>
      <c r="R36" s="215"/>
      <c r="S36" s="205" t="s">
        <v>25</v>
      </c>
      <c r="T36" s="205"/>
      <c r="U36" s="115">
        <v>2</v>
      </c>
      <c r="V36" s="94"/>
      <c r="W36" s="94"/>
      <c r="X36" s="100"/>
      <c r="Y36" s="38" t="s">
        <v>24</v>
      </c>
      <c r="Z36" s="38" t="s">
        <v>24</v>
      </c>
      <c r="AA36" s="38">
        <v>0</v>
      </c>
      <c r="AB36" s="38"/>
    </row>
    <row r="37" spans="2:28" s="39" customFormat="1" ht="14.6">
      <c r="B37" s="230" t="s">
        <v>246</v>
      </c>
      <c r="C37" s="231"/>
      <c r="D37" s="232" t="s">
        <v>247</v>
      </c>
      <c r="E37" s="238" t="s">
        <v>53</v>
      </c>
      <c r="F37" s="239">
        <v>755.27700000000004</v>
      </c>
      <c r="G37" s="223">
        <v>731.69558554884202</v>
      </c>
      <c r="H37" s="224">
        <v>1.03223</v>
      </c>
      <c r="I37" s="222">
        <v>1</v>
      </c>
      <c r="J37" s="239"/>
      <c r="K37" s="223"/>
      <c r="L37" s="224"/>
      <c r="M37" s="222"/>
      <c r="N37" s="240">
        <v>919</v>
      </c>
      <c r="O37" s="223"/>
      <c r="P37" s="223"/>
      <c r="Q37" s="224"/>
      <c r="R37" s="233"/>
      <c r="S37" s="225" t="s">
        <v>26</v>
      </c>
      <c r="T37" s="225"/>
      <c r="U37" s="115">
        <v>0</v>
      </c>
      <c r="V37" s="185" t="s">
        <v>24</v>
      </c>
      <c r="W37" s="185" t="s">
        <v>24</v>
      </c>
      <c r="X37" s="100"/>
      <c r="Y37" s="38" t="s">
        <v>24</v>
      </c>
      <c r="Z37" s="38" t="s">
        <v>24</v>
      </c>
      <c r="AA37" s="38">
        <v>0</v>
      </c>
      <c r="AB37" s="38"/>
    </row>
    <row r="38" spans="2:28" s="39" customFormat="1" ht="14.6">
      <c r="B38" s="180" t="s">
        <v>249</v>
      </c>
      <c r="C38" s="209"/>
      <c r="D38" s="210" t="s">
        <v>250</v>
      </c>
      <c r="E38" s="197" t="s">
        <v>53</v>
      </c>
      <c r="F38" s="186">
        <v>76.27</v>
      </c>
      <c r="G38" s="177"/>
      <c r="H38" s="178"/>
      <c r="I38" s="176"/>
      <c r="J38" s="186"/>
      <c r="K38" s="177"/>
      <c r="L38" s="178"/>
      <c r="M38" s="176"/>
      <c r="N38" s="192"/>
      <c r="O38" s="177"/>
      <c r="P38" s="177"/>
      <c r="Q38" s="178"/>
      <c r="R38" s="211"/>
      <c r="S38" s="212" t="s">
        <v>56</v>
      </c>
      <c r="T38" s="212"/>
      <c r="U38" s="115">
        <v>0</v>
      </c>
      <c r="V38" s="185" t="s">
        <v>353</v>
      </c>
      <c r="W38" s="185" t="s">
        <v>24</v>
      </c>
      <c r="X38" s="100"/>
      <c r="Y38" s="38" t="s">
        <v>24</v>
      </c>
      <c r="Z38" s="38" t="s">
        <v>24</v>
      </c>
      <c r="AA38" s="38">
        <v>0</v>
      </c>
      <c r="AB38" s="38"/>
    </row>
    <row r="39" spans="2:28" s="39" customFormat="1" ht="14.6">
      <c r="B39" s="230" t="s">
        <v>251</v>
      </c>
      <c r="C39" s="231"/>
      <c r="D39" s="232" t="s">
        <v>252</v>
      </c>
      <c r="E39" s="238" t="s">
        <v>53</v>
      </c>
      <c r="F39" s="239">
        <v>590.37300000000005</v>
      </c>
      <c r="G39" s="223"/>
      <c r="H39" s="224"/>
      <c r="I39" s="222"/>
      <c r="J39" s="239"/>
      <c r="K39" s="223"/>
      <c r="L39" s="224"/>
      <c r="M39" s="222"/>
      <c r="N39" s="240"/>
      <c r="O39" s="223"/>
      <c r="P39" s="223"/>
      <c r="Q39" s="224"/>
      <c r="R39" s="233"/>
      <c r="S39" s="225" t="s">
        <v>26</v>
      </c>
      <c r="T39" s="225"/>
      <c r="U39" s="115">
        <v>0</v>
      </c>
      <c r="V39" s="185" t="s">
        <v>354</v>
      </c>
      <c r="W39" s="185" t="s">
        <v>24</v>
      </c>
      <c r="X39" s="100"/>
      <c r="Y39" s="38" t="s">
        <v>24</v>
      </c>
      <c r="Z39" s="38" t="s">
        <v>24</v>
      </c>
      <c r="AA39" s="38">
        <v>0</v>
      </c>
      <c r="AB39" s="38"/>
    </row>
    <row r="40" spans="2:28" s="39" customFormat="1" ht="14.6">
      <c r="B40" s="234" t="s">
        <v>253</v>
      </c>
      <c r="C40" s="235"/>
      <c r="D40" s="236" t="s">
        <v>254</v>
      </c>
      <c r="E40" s="241" t="s">
        <v>53</v>
      </c>
      <c r="F40" s="242">
        <v>88.634</v>
      </c>
      <c r="G40" s="227"/>
      <c r="H40" s="228"/>
      <c r="I40" s="226"/>
      <c r="J40" s="242"/>
      <c r="K40" s="227"/>
      <c r="L40" s="228"/>
      <c r="M40" s="226"/>
      <c r="N40" s="243"/>
      <c r="O40" s="227"/>
      <c r="P40" s="227"/>
      <c r="Q40" s="228"/>
      <c r="R40" s="237"/>
      <c r="S40" s="229" t="s">
        <v>56</v>
      </c>
      <c r="T40" s="229"/>
      <c r="U40" s="115">
        <v>0</v>
      </c>
      <c r="V40" s="185" t="s">
        <v>353</v>
      </c>
      <c r="W40" s="185" t="s">
        <v>24</v>
      </c>
      <c r="X40" s="100"/>
      <c r="Y40" s="38" t="s">
        <v>24</v>
      </c>
      <c r="Z40" s="38" t="s">
        <v>24</v>
      </c>
      <c r="AA40" s="38">
        <v>0</v>
      </c>
      <c r="AB40" s="38"/>
    </row>
    <row r="41" spans="2:28" s="39" customFormat="1" ht="14.6">
      <c r="B41" s="230" t="s">
        <v>256</v>
      </c>
      <c r="C41" s="231"/>
      <c r="D41" s="232" t="s">
        <v>257</v>
      </c>
      <c r="E41" s="238" t="s">
        <v>55</v>
      </c>
      <c r="F41" s="244">
        <v>0.39085474497045103</v>
      </c>
      <c r="G41" s="245">
        <v>0.39712206914008302</v>
      </c>
      <c r="H41" s="224">
        <v>0.98421999999999998</v>
      </c>
      <c r="I41" s="222">
        <v>0.95</v>
      </c>
      <c r="J41" s="244"/>
      <c r="K41" s="245"/>
      <c r="L41" s="224"/>
      <c r="M41" s="222"/>
      <c r="N41" s="246">
        <v>0.39712206914008324</v>
      </c>
      <c r="O41" s="245"/>
      <c r="P41" s="245"/>
      <c r="Q41" s="224"/>
      <c r="R41" s="233"/>
      <c r="S41" s="225" t="s">
        <v>26</v>
      </c>
      <c r="T41" s="225"/>
      <c r="U41" s="115">
        <v>2</v>
      </c>
      <c r="V41" s="185" t="s">
        <v>24</v>
      </c>
      <c r="W41" s="185" t="s">
        <v>24</v>
      </c>
      <c r="X41" s="100"/>
      <c r="Y41" s="38" t="s">
        <v>24</v>
      </c>
      <c r="Z41" s="38" t="s">
        <v>24</v>
      </c>
      <c r="AA41" s="38">
        <v>0</v>
      </c>
      <c r="AB41" s="38"/>
    </row>
    <row r="42" spans="2:28" s="39" customFormat="1" ht="14.6">
      <c r="B42" s="234" t="s">
        <v>258</v>
      </c>
      <c r="C42" s="235"/>
      <c r="D42" s="236" t="s">
        <v>259</v>
      </c>
      <c r="E42" s="241" t="s">
        <v>260</v>
      </c>
      <c r="F42" s="242">
        <v>295.20359921704733</v>
      </c>
      <c r="G42" s="227">
        <v>290.57246491382074</v>
      </c>
      <c r="H42" s="228">
        <v>1.0159400000000001</v>
      </c>
      <c r="I42" s="226">
        <v>1</v>
      </c>
      <c r="J42" s="242"/>
      <c r="K42" s="227"/>
      <c r="L42" s="228"/>
      <c r="M42" s="226"/>
      <c r="N42" s="243">
        <v>364.95518153973626</v>
      </c>
      <c r="O42" s="227"/>
      <c r="P42" s="227"/>
      <c r="Q42" s="228"/>
      <c r="R42" s="237"/>
      <c r="S42" s="229" t="s">
        <v>56</v>
      </c>
      <c r="T42" s="229"/>
      <c r="U42" s="115">
        <v>0</v>
      </c>
      <c r="V42" s="185"/>
      <c r="W42" s="185"/>
      <c r="X42" s="100"/>
      <c r="Y42" s="38" t="s">
        <v>24</v>
      </c>
      <c r="Z42" s="38" t="s">
        <v>24</v>
      </c>
      <c r="AA42" s="38">
        <v>0</v>
      </c>
      <c r="AB42" s="38"/>
    </row>
    <row r="43" spans="2:28" s="39" customFormat="1" ht="14.6">
      <c r="B43" s="230" t="s">
        <v>261</v>
      </c>
      <c r="C43" s="231"/>
      <c r="D43" s="232" t="s">
        <v>262</v>
      </c>
      <c r="E43" s="238" t="s">
        <v>216</v>
      </c>
      <c r="F43" s="239">
        <v>75.021600000000007</v>
      </c>
      <c r="G43" s="223"/>
      <c r="H43" s="224"/>
      <c r="I43" s="222"/>
      <c r="J43" s="239"/>
      <c r="K43" s="223"/>
      <c r="L43" s="224"/>
      <c r="M43" s="222"/>
      <c r="N43" s="240"/>
      <c r="O43" s="223"/>
      <c r="P43" s="223"/>
      <c r="Q43" s="224"/>
      <c r="R43" s="233"/>
      <c r="S43" s="225" t="s">
        <v>26</v>
      </c>
      <c r="T43" s="225"/>
      <c r="U43" s="115">
        <v>0</v>
      </c>
      <c r="V43" s="185" t="s">
        <v>24</v>
      </c>
      <c r="W43" s="185" t="s">
        <v>24</v>
      </c>
      <c r="X43" s="100"/>
      <c r="Y43" s="38" t="s">
        <v>24</v>
      </c>
      <c r="Z43" s="38" t="s">
        <v>24</v>
      </c>
      <c r="AA43" s="38">
        <v>0</v>
      </c>
      <c r="AB43" s="38"/>
    </row>
    <row r="44" spans="2:28" s="39" customFormat="1" ht="14.6">
      <c r="B44" s="180" t="s">
        <v>263</v>
      </c>
      <c r="C44" s="209"/>
      <c r="D44" s="210" t="s">
        <v>264</v>
      </c>
      <c r="E44" s="197" t="s">
        <v>216</v>
      </c>
      <c r="F44" s="186">
        <v>350.44659999999999</v>
      </c>
      <c r="G44" s="177"/>
      <c r="H44" s="178"/>
      <c r="I44" s="176"/>
      <c r="J44" s="186"/>
      <c r="K44" s="177"/>
      <c r="L44" s="178"/>
      <c r="M44" s="176"/>
      <c r="N44" s="192"/>
      <c r="O44" s="177"/>
      <c r="P44" s="177"/>
      <c r="Q44" s="178"/>
      <c r="R44" s="211"/>
      <c r="S44" s="212" t="s">
        <v>56</v>
      </c>
      <c r="T44" s="212"/>
      <c r="U44" s="115">
        <v>0</v>
      </c>
      <c r="V44" s="185" t="s">
        <v>24</v>
      </c>
      <c r="W44" s="185" t="s">
        <v>24</v>
      </c>
      <c r="X44" s="100"/>
      <c r="Y44" s="38" t="s">
        <v>24</v>
      </c>
      <c r="Z44" s="38" t="s">
        <v>24</v>
      </c>
      <c r="AA44" s="38">
        <v>0</v>
      </c>
      <c r="AB44" s="38"/>
    </row>
    <row r="45" spans="2:28" s="39" customFormat="1" ht="14.6">
      <c r="B45" s="173" t="s">
        <v>65</v>
      </c>
      <c r="C45" s="213"/>
      <c r="D45" s="214" t="s">
        <v>265</v>
      </c>
      <c r="E45" s="195" t="s">
        <v>24</v>
      </c>
      <c r="F45" s="168"/>
      <c r="G45" s="168"/>
      <c r="H45" s="169"/>
      <c r="I45" s="167"/>
      <c r="J45" s="168"/>
      <c r="K45" s="168"/>
      <c r="L45" s="169"/>
      <c r="M45" s="167"/>
      <c r="N45" s="175"/>
      <c r="O45" s="168"/>
      <c r="P45" s="168"/>
      <c r="Q45" s="169"/>
      <c r="R45" s="215"/>
      <c r="S45" s="205" t="s">
        <v>25</v>
      </c>
      <c r="T45" s="205"/>
      <c r="U45" s="115">
        <v>2</v>
      </c>
      <c r="V45" s="94"/>
      <c r="W45" s="94"/>
      <c r="X45" s="100"/>
      <c r="Y45" s="38" t="s">
        <v>24</v>
      </c>
      <c r="Z45" s="38" t="s">
        <v>24</v>
      </c>
      <c r="AA45" s="38">
        <v>0</v>
      </c>
      <c r="AB45" s="38"/>
    </row>
    <row r="46" spans="2:28" s="39" customFormat="1" ht="14.6">
      <c r="B46" s="190" t="s">
        <v>66</v>
      </c>
      <c r="C46" s="206"/>
      <c r="D46" s="207" t="s">
        <v>266</v>
      </c>
      <c r="E46" s="196" t="s">
        <v>55</v>
      </c>
      <c r="F46" s="614">
        <v>0.98988095238122997</v>
      </c>
      <c r="G46" s="615">
        <v>0.98499999999999999</v>
      </c>
      <c r="H46" s="183">
        <v>1.0049600000000001</v>
      </c>
      <c r="I46" s="181">
        <v>1</v>
      </c>
      <c r="J46" s="614">
        <v>0.99300925925926997</v>
      </c>
      <c r="K46" s="615">
        <v>0.98499999999999999</v>
      </c>
      <c r="L46" s="183">
        <v>1.00813</v>
      </c>
      <c r="M46" s="181">
        <v>1</v>
      </c>
      <c r="N46" s="616">
        <v>0.98499999999999999</v>
      </c>
      <c r="O46" s="615">
        <v>0</v>
      </c>
      <c r="P46" s="615">
        <v>0</v>
      </c>
      <c r="Q46" s="183">
        <v>1</v>
      </c>
      <c r="R46" s="208">
        <v>1</v>
      </c>
      <c r="S46" s="199" t="s">
        <v>26</v>
      </c>
      <c r="T46" s="199"/>
      <c r="U46" s="115">
        <v>0</v>
      </c>
      <c r="V46" s="185" t="s">
        <v>24</v>
      </c>
      <c r="W46" s="185" t="s">
        <v>24</v>
      </c>
      <c r="X46" s="100"/>
      <c r="Y46" s="38" t="s">
        <v>24</v>
      </c>
      <c r="Z46" s="38" t="s">
        <v>24</v>
      </c>
      <c r="AA46" s="38">
        <v>0</v>
      </c>
      <c r="AB46" s="38"/>
    </row>
    <row r="47" spans="2:28" s="39" customFormat="1" ht="14.6">
      <c r="B47" s="190" t="s">
        <v>267</v>
      </c>
      <c r="C47" s="206"/>
      <c r="D47" s="207" t="s">
        <v>268</v>
      </c>
      <c r="E47" s="196" t="s">
        <v>55</v>
      </c>
      <c r="F47" s="614">
        <v>0.97213870515187695</v>
      </c>
      <c r="G47" s="615">
        <v>0.97499999999999998</v>
      </c>
      <c r="H47" s="183">
        <v>0.99707000000000001</v>
      </c>
      <c r="I47" s="181">
        <v>0.95</v>
      </c>
      <c r="J47" s="614">
        <v>0.97039489020391201</v>
      </c>
      <c r="K47" s="615">
        <v>0.97499999999999998</v>
      </c>
      <c r="L47" s="183">
        <v>0.99528000000000005</v>
      </c>
      <c r="M47" s="181">
        <v>0.95</v>
      </c>
      <c r="N47" s="616">
        <v>0.97499999999999998</v>
      </c>
      <c r="O47" s="615">
        <v>0</v>
      </c>
      <c r="P47" s="615">
        <v>0</v>
      </c>
      <c r="Q47" s="183">
        <v>1</v>
      </c>
      <c r="R47" s="208">
        <v>1</v>
      </c>
      <c r="S47" s="199" t="s">
        <v>26</v>
      </c>
      <c r="T47" s="199"/>
      <c r="U47" s="115">
        <v>0</v>
      </c>
      <c r="V47" s="185" t="s">
        <v>24</v>
      </c>
      <c r="W47" s="185" t="s">
        <v>24</v>
      </c>
      <c r="X47" s="100"/>
      <c r="Y47" s="38" t="s">
        <v>24</v>
      </c>
      <c r="Z47" s="38" t="s">
        <v>24</v>
      </c>
      <c r="AA47" s="38">
        <v>0</v>
      </c>
      <c r="AB47" s="38"/>
    </row>
    <row r="48" spans="2:28" s="39" customFormat="1" ht="14.6">
      <c r="B48" s="190" t="s">
        <v>269</v>
      </c>
      <c r="C48" s="206"/>
      <c r="D48" s="207" t="s">
        <v>270</v>
      </c>
      <c r="E48" s="196" t="s">
        <v>55</v>
      </c>
      <c r="F48" s="614">
        <v>0.96230158730239579</v>
      </c>
      <c r="G48" s="615">
        <v>0.96037499999999998</v>
      </c>
      <c r="H48" s="183">
        <v>1.0020100000000001</v>
      </c>
      <c r="I48" s="181">
        <v>1</v>
      </c>
      <c r="J48" s="614">
        <v>0.96361111111036735</v>
      </c>
      <c r="K48" s="615">
        <v>0.96037499999999998</v>
      </c>
      <c r="L48" s="183">
        <v>1.0033700000000001</v>
      </c>
      <c r="M48" s="181">
        <v>1</v>
      </c>
      <c r="N48" s="616">
        <v>0.96037499999999998</v>
      </c>
      <c r="O48" s="615">
        <v>0</v>
      </c>
      <c r="P48" s="615">
        <v>0</v>
      </c>
      <c r="Q48" s="183">
        <v>1</v>
      </c>
      <c r="R48" s="208">
        <v>1</v>
      </c>
      <c r="S48" s="199" t="s">
        <v>26</v>
      </c>
      <c r="T48" s="199"/>
      <c r="U48" s="115">
        <v>0</v>
      </c>
      <c r="V48" s="185"/>
      <c r="W48" s="185"/>
      <c r="X48" s="100"/>
      <c r="Y48" s="38" t="s">
        <v>24</v>
      </c>
      <c r="Z48" s="38" t="s">
        <v>24</v>
      </c>
      <c r="AA48" s="38">
        <v>0</v>
      </c>
      <c r="AB48" s="38"/>
    </row>
    <row r="49" spans="2:28" s="39" customFormat="1" ht="14.6">
      <c r="B49" s="230" t="s">
        <v>169</v>
      </c>
      <c r="C49" s="231"/>
      <c r="D49" s="232" t="s">
        <v>271</v>
      </c>
      <c r="E49" s="238" t="s">
        <v>55</v>
      </c>
      <c r="F49" s="564">
        <v>0</v>
      </c>
      <c r="G49" s="565">
        <v>0</v>
      </c>
      <c r="H49" s="224">
        <v>1</v>
      </c>
      <c r="I49" s="222">
        <v>1</v>
      </c>
      <c r="J49" s="564">
        <v>0</v>
      </c>
      <c r="K49" s="565">
        <v>0.75</v>
      </c>
      <c r="L49" s="224">
        <v>0</v>
      </c>
      <c r="M49" s="222">
        <v>0</v>
      </c>
      <c r="N49" s="566">
        <v>0.72222222222222199</v>
      </c>
      <c r="O49" s="565">
        <v>0</v>
      </c>
      <c r="P49" s="565">
        <v>0</v>
      </c>
      <c r="Q49" s="224">
        <v>1</v>
      </c>
      <c r="R49" s="233">
        <v>1</v>
      </c>
      <c r="S49" s="225" t="s">
        <v>26</v>
      </c>
      <c r="T49" s="225"/>
      <c r="U49" s="115">
        <v>0</v>
      </c>
      <c r="V49" s="185" t="s">
        <v>24</v>
      </c>
      <c r="W49" s="185" t="s">
        <v>24</v>
      </c>
      <c r="X49" s="100"/>
      <c r="Y49" s="38" t="s">
        <v>24</v>
      </c>
      <c r="Z49" s="38" t="s">
        <v>24</v>
      </c>
      <c r="AA49" s="38">
        <v>0</v>
      </c>
      <c r="AB49" s="38"/>
    </row>
    <row r="50" spans="2:28" s="39" customFormat="1" ht="14.6" collapsed="1">
      <c r="B50" s="230" t="s">
        <v>170</v>
      </c>
      <c r="C50" s="231"/>
      <c r="D50" s="232" t="s">
        <v>273</v>
      </c>
      <c r="E50" s="238" t="s">
        <v>209</v>
      </c>
      <c r="F50" s="558">
        <v>33.3099999999977</v>
      </c>
      <c r="G50" s="559">
        <v>0</v>
      </c>
      <c r="H50" s="224">
        <v>1</v>
      </c>
      <c r="I50" s="222">
        <v>1</v>
      </c>
      <c r="J50" s="558">
        <v>29.831944444449601</v>
      </c>
      <c r="K50" s="559">
        <v>0</v>
      </c>
      <c r="L50" s="224">
        <v>1</v>
      </c>
      <c r="M50" s="222">
        <v>1</v>
      </c>
      <c r="N50" s="560">
        <v>0</v>
      </c>
      <c r="O50" s="559">
        <v>0</v>
      </c>
      <c r="P50" s="559">
        <v>0</v>
      </c>
      <c r="Q50" s="224">
        <v>1</v>
      </c>
      <c r="R50" s="233">
        <v>1</v>
      </c>
      <c r="S50" s="225" t="s">
        <v>26</v>
      </c>
      <c r="T50" s="225"/>
      <c r="U50" s="115">
        <v>2</v>
      </c>
      <c r="V50" s="185" t="s">
        <v>24</v>
      </c>
      <c r="W50" s="185" t="s">
        <v>24</v>
      </c>
      <c r="X50" s="100"/>
      <c r="Y50" s="38" t="s">
        <v>24</v>
      </c>
      <c r="Z50" s="38" t="s">
        <v>24</v>
      </c>
      <c r="AA50" s="38">
        <v>0</v>
      </c>
      <c r="AB50" s="38"/>
    </row>
    <row r="51" spans="2:28" s="39" customFormat="1" ht="14.6">
      <c r="B51" s="190" t="s">
        <v>171</v>
      </c>
      <c r="C51" s="206"/>
      <c r="D51" s="207" t="s">
        <v>274</v>
      </c>
      <c r="E51" s="196" t="s">
        <v>209</v>
      </c>
      <c r="F51" s="542">
        <v>0.29000000000232801</v>
      </c>
      <c r="G51" s="543">
        <v>0</v>
      </c>
      <c r="H51" s="183">
        <v>1</v>
      </c>
      <c r="I51" s="181">
        <v>1</v>
      </c>
      <c r="J51" s="542">
        <v>0.16805555555038201</v>
      </c>
      <c r="K51" s="543">
        <v>0</v>
      </c>
      <c r="L51" s="183">
        <v>1</v>
      </c>
      <c r="M51" s="181">
        <v>1</v>
      </c>
      <c r="N51" s="554">
        <v>0</v>
      </c>
      <c r="O51" s="543">
        <v>0</v>
      </c>
      <c r="P51" s="543">
        <v>0</v>
      </c>
      <c r="Q51" s="183">
        <v>1</v>
      </c>
      <c r="R51" s="208">
        <v>1</v>
      </c>
      <c r="S51" s="199" t="s">
        <v>26</v>
      </c>
      <c r="T51" s="199"/>
      <c r="U51" s="115">
        <v>2</v>
      </c>
      <c r="V51" s="185" t="s">
        <v>24</v>
      </c>
      <c r="W51" s="185" t="s">
        <v>24</v>
      </c>
      <c r="X51" s="100"/>
      <c r="Y51" s="38" t="s">
        <v>24</v>
      </c>
      <c r="Z51" s="38" t="s">
        <v>24</v>
      </c>
      <c r="AA51" s="38">
        <v>0</v>
      </c>
      <c r="AB51" s="38"/>
    </row>
    <row r="52" spans="2:28" s="39" customFormat="1" ht="14.6">
      <c r="B52" s="392" t="s">
        <v>112</v>
      </c>
      <c r="C52" s="595"/>
      <c r="D52" s="596" t="s">
        <v>275</v>
      </c>
      <c r="E52" s="569" t="s">
        <v>55</v>
      </c>
      <c r="F52" s="617">
        <v>0.98</v>
      </c>
      <c r="G52" s="618">
        <v>0.98</v>
      </c>
      <c r="H52" s="568">
        <v>1</v>
      </c>
      <c r="I52" s="397">
        <v>1</v>
      </c>
      <c r="J52" s="617">
        <v>0.98</v>
      </c>
      <c r="K52" s="618">
        <v>0.98</v>
      </c>
      <c r="L52" s="568">
        <v>1</v>
      </c>
      <c r="M52" s="397">
        <v>1</v>
      </c>
      <c r="N52" s="619">
        <v>0.98</v>
      </c>
      <c r="O52" s="618">
        <v>0</v>
      </c>
      <c r="P52" s="618">
        <v>0</v>
      </c>
      <c r="Q52" s="568">
        <v>1</v>
      </c>
      <c r="R52" s="399">
        <v>1</v>
      </c>
      <c r="S52" s="597" t="s">
        <v>56</v>
      </c>
      <c r="T52" s="597">
        <v>4</v>
      </c>
      <c r="U52" s="115">
        <v>0</v>
      </c>
      <c r="V52" s="185" t="s">
        <v>24</v>
      </c>
      <c r="W52" s="185" t="s">
        <v>24</v>
      </c>
      <c r="X52" s="100"/>
      <c r="Y52" s="38" t="s">
        <v>24</v>
      </c>
      <c r="Z52" s="38" t="s">
        <v>24</v>
      </c>
      <c r="AA52" s="38">
        <v>0</v>
      </c>
      <c r="AB52" s="38"/>
    </row>
    <row r="53" spans="2:28" s="39" customFormat="1" ht="14.6" collapsed="1">
      <c r="B53" s="234" t="s">
        <v>113</v>
      </c>
      <c r="C53" s="235"/>
      <c r="D53" s="236" t="s">
        <v>276</v>
      </c>
      <c r="E53" s="241" t="s">
        <v>55</v>
      </c>
      <c r="F53" s="561">
        <v>0.58467392058864398</v>
      </c>
      <c r="G53" s="562">
        <v>0.5</v>
      </c>
      <c r="H53" s="228">
        <v>1.1693500000000001</v>
      </c>
      <c r="I53" s="226">
        <v>1</v>
      </c>
      <c r="J53" s="561">
        <v>0.51541950113378698</v>
      </c>
      <c r="K53" s="562">
        <v>0.49</v>
      </c>
      <c r="L53" s="228">
        <v>1.0518799999999999</v>
      </c>
      <c r="M53" s="226">
        <v>1</v>
      </c>
      <c r="N53" s="563">
        <v>0.49</v>
      </c>
      <c r="O53" s="562">
        <v>0</v>
      </c>
      <c r="P53" s="562">
        <v>0</v>
      </c>
      <c r="Q53" s="228">
        <v>1</v>
      </c>
      <c r="R53" s="237">
        <v>1</v>
      </c>
      <c r="S53" s="229" t="s">
        <v>56</v>
      </c>
      <c r="T53" s="229"/>
      <c r="U53" s="115">
        <v>0</v>
      </c>
      <c r="V53" s="185" t="s">
        <v>24</v>
      </c>
      <c r="W53" s="185" t="s">
        <v>24</v>
      </c>
      <c r="X53" s="100"/>
      <c r="Y53" s="38" t="s">
        <v>24</v>
      </c>
      <c r="Z53" s="38" t="s">
        <v>24</v>
      </c>
      <c r="AA53" s="38">
        <v>0</v>
      </c>
      <c r="AB53" s="38"/>
    </row>
    <row r="54" spans="2:28" s="39" customFormat="1" ht="14.6">
      <c r="B54" s="180" t="s">
        <v>114</v>
      </c>
      <c r="C54" s="209"/>
      <c r="D54" s="210" t="s">
        <v>277</v>
      </c>
      <c r="E54" s="197" t="s">
        <v>55</v>
      </c>
      <c r="F54" s="620">
        <v>0.57298044217687116</v>
      </c>
      <c r="G54" s="621">
        <v>0.49</v>
      </c>
      <c r="H54" s="178">
        <v>1.1693500000000001</v>
      </c>
      <c r="I54" s="176">
        <v>1</v>
      </c>
      <c r="J54" s="620">
        <v>0.50511111111111129</v>
      </c>
      <c r="K54" s="621">
        <v>0.48020000000000002</v>
      </c>
      <c r="L54" s="178">
        <v>1.0518799999999999</v>
      </c>
      <c r="M54" s="176">
        <v>1</v>
      </c>
      <c r="N54" s="622">
        <v>0.48020000000000002</v>
      </c>
      <c r="O54" s="621">
        <v>0</v>
      </c>
      <c r="P54" s="621">
        <v>0</v>
      </c>
      <c r="Q54" s="178">
        <v>1</v>
      </c>
      <c r="R54" s="211">
        <v>1</v>
      </c>
      <c r="S54" s="212" t="s">
        <v>56</v>
      </c>
      <c r="T54" s="212"/>
      <c r="U54" s="115">
        <v>0</v>
      </c>
      <c r="V54" s="185"/>
      <c r="W54" s="185"/>
      <c r="X54" s="100"/>
      <c r="Y54" s="38" t="s">
        <v>24</v>
      </c>
      <c r="Z54" s="38" t="s">
        <v>24</v>
      </c>
      <c r="AA54" s="38">
        <v>0</v>
      </c>
      <c r="AB54" s="38"/>
    </row>
    <row r="55" spans="2:28" s="39" customFormat="1" ht="14.6">
      <c r="B55" s="544" t="s">
        <v>115</v>
      </c>
      <c r="C55" s="623"/>
      <c r="D55" s="624" t="s">
        <v>278</v>
      </c>
      <c r="E55" s="551" t="s">
        <v>55</v>
      </c>
      <c r="F55" s="627">
        <v>0.99408333333333299</v>
      </c>
      <c r="G55" s="628">
        <v>0.98</v>
      </c>
      <c r="H55" s="547">
        <v>1.01437</v>
      </c>
      <c r="I55" s="549">
        <v>1</v>
      </c>
      <c r="J55" s="627">
        <v>0.99408333333333299</v>
      </c>
      <c r="K55" s="628">
        <v>0.98</v>
      </c>
      <c r="L55" s="547">
        <v>1.01437</v>
      </c>
      <c r="M55" s="549">
        <v>1</v>
      </c>
      <c r="N55" s="629">
        <v>0.98</v>
      </c>
      <c r="O55" s="628">
        <v>0</v>
      </c>
      <c r="P55" s="628">
        <v>0</v>
      </c>
      <c r="Q55" s="547">
        <v>1</v>
      </c>
      <c r="R55" s="625">
        <v>1</v>
      </c>
      <c r="S55" s="626" t="s">
        <v>26</v>
      </c>
      <c r="T55" s="626">
        <v>4</v>
      </c>
      <c r="U55" s="115">
        <v>0</v>
      </c>
      <c r="V55" s="185" t="s">
        <v>24</v>
      </c>
      <c r="W55" s="185" t="s">
        <v>24</v>
      </c>
      <c r="X55" s="100"/>
      <c r="Y55" s="38" t="s">
        <v>24</v>
      </c>
      <c r="Z55" s="38" t="s">
        <v>24</v>
      </c>
      <c r="AA55" s="38">
        <v>0</v>
      </c>
      <c r="AB55" s="38"/>
    </row>
    <row r="56" spans="2:28" s="39" customFormat="1" ht="14.6">
      <c r="B56" s="230" t="s">
        <v>116</v>
      </c>
      <c r="C56" s="231"/>
      <c r="D56" s="232" t="s">
        <v>279</v>
      </c>
      <c r="E56" s="238" t="s">
        <v>55</v>
      </c>
      <c r="F56" s="564">
        <v>0.48903649312856201</v>
      </c>
      <c r="G56" s="565">
        <v>0.5</v>
      </c>
      <c r="H56" s="224">
        <v>0.97806999999999999</v>
      </c>
      <c r="I56" s="222">
        <v>0.95</v>
      </c>
      <c r="J56" s="564">
        <v>0.48235245041096297</v>
      </c>
      <c r="K56" s="565">
        <v>0.5</v>
      </c>
      <c r="L56" s="224">
        <v>0.9647</v>
      </c>
      <c r="M56" s="222">
        <v>0.95</v>
      </c>
      <c r="N56" s="566">
        <v>0.5</v>
      </c>
      <c r="O56" s="565">
        <v>0</v>
      </c>
      <c r="P56" s="565">
        <v>0</v>
      </c>
      <c r="Q56" s="224">
        <v>1</v>
      </c>
      <c r="R56" s="233">
        <v>1</v>
      </c>
      <c r="S56" s="225" t="s">
        <v>26</v>
      </c>
      <c r="T56" s="225"/>
      <c r="U56" s="115">
        <v>0</v>
      </c>
      <c r="V56" s="185" t="s">
        <v>24</v>
      </c>
      <c r="W56" s="185" t="s">
        <v>24</v>
      </c>
      <c r="X56" s="100"/>
      <c r="Y56" s="38" t="s">
        <v>24</v>
      </c>
      <c r="Z56" s="38" t="s">
        <v>24</v>
      </c>
      <c r="AA56" s="38">
        <v>0</v>
      </c>
      <c r="AB56" s="38"/>
    </row>
    <row r="57" spans="2:28" s="39" customFormat="1" ht="14.6">
      <c r="B57" s="230" t="s">
        <v>117</v>
      </c>
      <c r="C57" s="231"/>
      <c r="D57" s="232" t="s">
        <v>280</v>
      </c>
      <c r="E57" s="238" t="s">
        <v>55</v>
      </c>
      <c r="F57" s="564">
        <v>0.48614302721088448</v>
      </c>
      <c r="G57" s="565">
        <v>0.49</v>
      </c>
      <c r="H57" s="224">
        <v>0.99212999999999996</v>
      </c>
      <c r="I57" s="222">
        <v>0.95</v>
      </c>
      <c r="J57" s="564">
        <v>0.4794985317460313</v>
      </c>
      <c r="K57" s="565">
        <v>0.49</v>
      </c>
      <c r="L57" s="224">
        <v>0.97857000000000005</v>
      </c>
      <c r="M57" s="222">
        <v>0.95</v>
      </c>
      <c r="N57" s="566">
        <v>0.49</v>
      </c>
      <c r="O57" s="565">
        <v>0</v>
      </c>
      <c r="P57" s="565">
        <v>0</v>
      </c>
      <c r="Q57" s="224">
        <v>1</v>
      </c>
      <c r="R57" s="233">
        <v>1</v>
      </c>
      <c r="S57" s="225" t="s">
        <v>26</v>
      </c>
      <c r="T57" s="225"/>
      <c r="U57" s="115">
        <v>0</v>
      </c>
      <c r="V57" s="185"/>
      <c r="W57" s="185"/>
      <c r="X57" s="100"/>
      <c r="Y57" s="38" t="s">
        <v>24</v>
      </c>
      <c r="Z57" s="38" t="s">
        <v>24</v>
      </c>
      <c r="AA57" s="38">
        <v>0</v>
      </c>
      <c r="AB57" s="38"/>
    </row>
    <row r="58" spans="2:28" s="39" customFormat="1" ht="14.6" collapsed="1">
      <c r="B58" s="173" t="s">
        <v>118</v>
      </c>
      <c r="C58" s="213"/>
      <c r="D58" s="214" t="s">
        <v>44</v>
      </c>
      <c r="E58" s="195" t="s">
        <v>24</v>
      </c>
      <c r="F58" s="168"/>
      <c r="G58" s="168"/>
      <c r="H58" s="169"/>
      <c r="I58" s="167"/>
      <c r="J58" s="168"/>
      <c r="K58" s="168"/>
      <c r="L58" s="169"/>
      <c r="M58" s="167"/>
      <c r="N58" s="175"/>
      <c r="O58" s="168"/>
      <c r="P58" s="168"/>
      <c r="Q58" s="169"/>
      <c r="R58" s="215"/>
      <c r="S58" s="205" t="s">
        <v>25</v>
      </c>
      <c r="T58" s="205"/>
      <c r="U58" s="115">
        <v>2</v>
      </c>
      <c r="V58" s="94"/>
      <c r="W58" s="94"/>
      <c r="X58" s="100"/>
      <c r="Y58" s="38" t="s">
        <v>24</v>
      </c>
      <c r="Z58" s="38" t="s">
        <v>24</v>
      </c>
      <c r="AA58" s="38">
        <v>0</v>
      </c>
      <c r="AB58" s="38"/>
    </row>
    <row r="59" spans="2:28" s="39" customFormat="1" ht="14.6">
      <c r="B59" s="342" t="s">
        <v>281</v>
      </c>
      <c r="C59" s="585"/>
      <c r="D59" s="590" t="s">
        <v>41</v>
      </c>
      <c r="E59" s="633" t="s">
        <v>119</v>
      </c>
      <c r="F59" s="653">
        <v>-1</v>
      </c>
      <c r="G59" s="654">
        <v>-1</v>
      </c>
      <c r="H59" s="574">
        <v>1</v>
      </c>
      <c r="I59" s="338">
        <v>1</v>
      </c>
      <c r="J59" s="653"/>
      <c r="K59" s="654"/>
      <c r="L59" s="574"/>
      <c r="M59" s="338"/>
      <c r="N59" s="655"/>
      <c r="O59" s="654"/>
      <c r="P59" s="654"/>
      <c r="Q59" s="574"/>
      <c r="R59" s="344"/>
      <c r="S59" s="575" t="s">
        <v>120</v>
      </c>
      <c r="T59" s="575"/>
      <c r="U59" s="115">
        <v>2</v>
      </c>
      <c r="V59" s="185" t="s">
        <v>24</v>
      </c>
      <c r="W59" s="185" t="s">
        <v>24</v>
      </c>
      <c r="X59" s="100"/>
      <c r="Y59" s="38" t="s">
        <v>24</v>
      </c>
      <c r="Z59" s="38" t="s">
        <v>24</v>
      </c>
      <c r="AA59" s="38">
        <v>0</v>
      </c>
      <c r="AB59" s="38"/>
    </row>
    <row r="60" spans="2:28" s="39" customFormat="1" ht="14.6">
      <c r="B60" s="173" t="s">
        <v>121</v>
      </c>
      <c r="C60" s="213"/>
      <c r="D60" s="214" t="s">
        <v>79</v>
      </c>
      <c r="E60" s="195" t="s">
        <v>24</v>
      </c>
      <c r="F60" s="556"/>
      <c r="G60" s="556"/>
      <c r="H60" s="169"/>
      <c r="I60" s="167"/>
      <c r="J60" s="556"/>
      <c r="K60" s="556"/>
      <c r="L60" s="169"/>
      <c r="M60" s="167"/>
      <c r="N60" s="557"/>
      <c r="O60" s="556"/>
      <c r="P60" s="556"/>
      <c r="Q60" s="169"/>
      <c r="R60" s="215"/>
      <c r="S60" s="205" t="s">
        <v>25</v>
      </c>
      <c r="T60" s="205"/>
      <c r="U60" s="115">
        <v>2</v>
      </c>
      <c r="V60" s="94"/>
      <c r="W60" s="94"/>
      <c r="X60" s="100"/>
      <c r="Y60" s="38" t="s">
        <v>24</v>
      </c>
      <c r="Z60" s="38" t="s">
        <v>24</v>
      </c>
      <c r="AA60" s="38">
        <v>0</v>
      </c>
      <c r="AB60" s="38"/>
    </row>
    <row r="61" spans="2:28" s="39" customFormat="1" ht="14.6" collapsed="1">
      <c r="B61" s="230" t="s">
        <v>122</v>
      </c>
      <c r="C61" s="231"/>
      <c r="D61" s="232" t="s">
        <v>282</v>
      </c>
      <c r="E61" s="238" t="s">
        <v>80</v>
      </c>
      <c r="F61" s="239">
        <v>216</v>
      </c>
      <c r="G61" s="223">
        <v>220</v>
      </c>
      <c r="H61" s="224">
        <v>0.98182000000000003</v>
      </c>
      <c r="I61" s="222">
        <v>0.95</v>
      </c>
      <c r="J61" s="239">
        <v>216.66666666666666</v>
      </c>
      <c r="K61" s="223">
        <v>220</v>
      </c>
      <c r="L61" s="224">
        <v>0.98485</v>
      </c>
      <c r="M61" s="222">
        <v>0.95</v>
      </c>
      <c r="N61" s="240">
        <v>220</v>
      </c>
      <c r="O61" s="223">
        <v>216.96969696969697</v>
      </c>
      <c r="P61" s="223">
        <v>220</v>
      </c>
      <c r="Q61" s="224">
        <v>0.98623000000000005</v>
      </c>
      <c r="R61" s="233">
        <v>0.95</v>
      </c>
      <c r="S61" s="225" t="s">
        <v>26</v>
      </c>
      <c r="T61" s="225"/>
      <c r="U61" s="115">
        <v>0</v>
      </c>
      <c r="V61" s="185" t="s">
        <v>24</v>
      </c>
      <c r="W61" s="185" t="s">
        <v>24</v>
      </c>
      <c r="X61" s="100"/>
      <c r="Y61" s="38" t="s">
        <v>24</v>
      </c>
      <c r="Z61" s="38" t="s">
        <v>24</v>
      </c>
      <c r="AA61" s="38">
        <v>0</v>
      </c>
      <c r="AB61" s="38"/>
    </row>
    <row r="62" spans="2:28" s="39" customFormat="1" ht="14.6">
      <c r="B62" s="234" t="s">
        <v>172</v>
      </c>
      <c r="C62" s="235"/>
      <c r="D62" s="236" t="s">
        <v>124</v>
      </c>
      <c r="E62" s="241" t="s">
        <v>80</v>
      </c>
      <c r="F62" s="242">
        <v>0</v>
      </c>
      <c r="G62" s="227"/>
      <c r="H62" s="228"/>
      <c r="I62" s="226"/>
      <c r="J62" s="242">
        <v>0</v>
      </c>
      <c r="K62" s="227"/>
      <c r="L62" s="228">
        <v>1</v>
      </c>
      <c r="M62" s="226"/>
      <c r="N62" s="243"/>
      <c r="O62" s="227">
        <v>1</v>
      </c>
      <c r="P62" s="227"/>
      <c r="Q62" s="228">
        <v>1</v>
      </c>
      <c r="R62" s="237"/>
      <c r="S62" s="229" t="s">
        <v>56</v>
      </c>
      <c r="T62" s="229"/>
      <c r="U62" s="115">
        <v>0</v>
      </c>
      <c r="V62" s="185" t="s">
        <v>24</v>
      </c>
      <c r="W62" s="185" t="s">
        <v>24</v>
      </c>
      <c r="X62" s="100"/>
      <c r="Y62" s="38" t="s">
        <v>24</v>
      </c>
      <c r="Z62" s="38" t="s">
        <v>24</v>
      </c>
      <c r="AA62" s="38">
        <v>0</v>
      </c>
      <c r="AB62" s="38"/>
    </row>
    <row r="63" spans="2:28" s="39" customFormat="1" ht="24" collapsed="1">
      <c r="B63" s="230" t="s">
        <v>173</v>
      </c>
      <c r="C63" s="231"/>
      <c r="D63" s="232" t="s">
        <v>126</v>
      </c>
      <c r="E63" s="238" t="s">
        <v>80</v>
      </c>
      <c r="F63" s="239">
        <v>1</v>
      </c>
      <c r="G63" s="223"/>
      <c r="H63" s="224"/>
      <c r="I63" s="222"/>
      <c r="J63" s="239">
        <v>1</v>
      </c>
      <c r="K63" s="223"/>
      <c r="L63" s="224">
        <v>1</v>
      </c>
      <c r="M63" s="222"/>
      <c r="N63" s="240"/>
      <c r="O63" s="223">
        <v>1</v>
      </c>
      <c r="P63" s="223"/>
      <c r="Q63" s="224">
        <v>1</v>
      </c>
      <c r="R63" s="233"/>
      <c r="S63" s="225" t="s">
        <v>26</v>
      </c>
      <c r="T63" s="225"/>
      <c r="U63" s="115">
        <v>0</v>
      </c>
      <c r="V63" s="185" t="s">
        <v>355</v>
      </c>
      <c r="W63" s="185" t="s">
        <v>24</v>
      </c>
      <c r="X63" s="100"/>
      <c r="Y63" s="38" t="s">
        <v>24</v>
      </c>
      <c r="Z63" s="38" t="s">
        <v>24</v>
      </c>
      <c r="AA63" s="38">
        <v>0</v>
      </c>
      <c r="AB63" s="38"/>
    </row>
    <row r="64" spans="2:28" s="39" customFormat="1" ht="14.6">
      <c r="B64" s="234" t="s">
        <v>123</v>
      </c>
      <c r="C64" s="235"/>
      <c r="D64" s="236" t="s">
        <v>128</v>
      </c>
      <c r="E64" s="241" t="s">
        <v>80</v>
      </c>
      <c r="F64" s="242">
        <v>0</v>
      </c>
      <c r="G64" s="227"/>
      <c r="H64" s="228"/>
      <c r="I64" s="226"/>
      <c r="J64" s="242">
        <v>0</v>
      </c>
      <c r="K64" s="227"/>
      <c r="L64" s="228">
        <v>1</v>
      </c>
      <c r="M64" s="226"/>
      <c r="N64" s="243"/>
      <c r="O64" s="227">
        <v>0</v>
      </c>
      <c r="P64" s="227"/>
      <c r="Q64" s="228">
        <v>1</v>
      </c>
      <c r="R64" s="237"/>
      <c r="S64" s="229" t="s">
        <v>56</v>
      </c>
      <c r="T64" s="229"/>
      <c r="U64" s="115">
        <v>0</v>
      </c>
      <c r="V64" s="185" t="s">
        <v>24</v>
      </c>
      <c r="W64" s="185" t="s">
        <v>24</v>
      </c>
      <c r="X64" s="100"/>
      <c r="Y64" s="38" t="s">
        <v>24</v>
      </c>
      <c r="Z64" s="38" t="s">
        <v>24</v>
      </c>
      <c r="AA64" s="38">
        <v>0</v>
      </c>
      <c r="AB64" s="38"/>
    </row>
    <row r="65" spans="2:28" s="39" customFormat="1" ht="14.6" collapsed="1">
      <c r="B65" s="190" t="s">
        <v>125</v>
      </c>
      <c r="C65" s="206"/>
      <c r="D65" s="207" t="s">
        <v>130</v>
      </c>
      <c r="E65" s="196" t="s">
        <v>80</v>
      </c>
      <c r="F65" s="184">
        <v>1</v>
      </c>
      <c r="G65" s="182">
        <v>0</v>
      </c>
      <c r="H65" s="183">
        <v>1</v>
      </c>
      <c r="I65" s="181">
        <v>1</v>
      </c>
      <c r="J65" s="184">
        <v>1</v>
      </c>
      <c r="K65" s="182">
        <v>0</v>
      </c>
      <c r="L65" s="183">
        <v>1</v>
      </c>
      <c r="M65" s="181">
        <v>1</v>
      </c>
      <c r="N65" s="191">
        <v>0</v>
      </c>
      <c r="O65" s="182">
        <v>1</v>
      </c>
      <c r="P65" s="182">
        <v>0</v>
      </c>
      <c r="Q65" s="183">
        <v>1</v>
      </c>
      <c r="R65" s="208">
        <v>1</v>
      </c>
      <c r="S65" s="199" t="s">
        <v>26</v>
      </c>
      <c r="T65" s="199"/>
      <c r="U65" s="115">
        <v>0</v>
      </c>
      <c r="V65" s="185"/>
      <c r="W65" s="185"/>
      <c r="X65" s="100"/>
      <c r="Y65" s="38" t="s">
        <v>24</v>
      </c>
      <c r="Z65" s="38" t="s">
        <v>24</v>
      </c>
      <c r="AA65" s="38">
        <v>0</v>
      </c>
      <c r="AB65" s="38"/>
    </row>
    <row r="66" spans="2:28" s="39" customFormat="1" ht="14.6">
      <c r="B66" s="180" t="s">
        <v>127</v>
      </c>
      <c r="C66" s="209"/>
      <c r="D66" s="210" t="s">
        <v>132</v>
      </c>
      <c r="E66" s="197" t="s">
        <v>55</v>
      </c>
      <c r="F66" s="189">
        <v>4.6296296296296294E-3</v>
      </c>
      <c r="G66" s="179">
        <v>0</v>
      </c>
      <c r="H66" s="178">
        <v>1</v>
      </c>
      <c r="I66" s="176">
        <v>1</v>
      </c>
      <c r="J66" s="189">
        <v>4.615384615384608E-3</v>
      </c>
      <c r="K66" s="179">
        <v>0</v>
      </c>
      <c r="L66" s="178">
        <v>1</v>
      </c>
      <c r="M66" s="176">
        <v>1</v>
      </c>
      <c r="N66" s="194">
        <v>0</v>
      </c>
      <c r="O66" s="179">
        <v>4.608938547486033E-3</v>
      </c>
      <c r="P66" s="179">
        <v>0</v>
      </c>
      <c r="Q66" s="178">
        <v>1</v>
      </c>
      <c r="R66" s="211">
        <v>1</v>
      </c>
      <c r="S66" s="212" t="s">
        <v>56</v>
      </c>
      <c r="T66" s="212"/>
      <c r="U66" s="115">
        <v>2</v>
      </c>
      <c r="V66" s="185"/>
      <c r="W66" s="185"/>
      <c r="X66" s="100"/>
      <c r="Y66" s="38" t="s">
        <v>24</v>
      </c>
      <c r="Z66" s="38" t="s">
        <v>24</v>
      </c>
      <c r="AA66" s="38">
        <v>0</v>
      </c>
      <c r="AB66" s="38"/>
    </row>
    <row r="67" spans="2:28" s="39" customFormat="1" ht="14.6">
      <c r="B67" s="190" t="s">
        <v>129</v>
      </c>
      <c r="C67" s="206"/>
      <c r="D67" s="207" t="s">
        <v>134</v>
      </c>
      <c r="E67" s="196" t="s">
        <v>55</v>
      </c>
      <c r="F67" s="188">
        <v>-4.6296296296296294E-3</v>
      </c>
      <c r="G67" s="187">
        <v>0</v>
      </c>
      <c r="H67" s="183">
        <v>1</v>
      </c>
      <c r="I67" s="181">
        <v>1</v>
      </c>
      <c r="J67" s="188">
        <v>-4.615384615384608E-3</v>
      </c>
      <c r="K67" s="187">
        <v>0</v>
      </c>
      <c r="L67" s="183">
        <v>1</v>
      </c>
      <c r="M67" s="181">
        <v>1</v>
      </c>
      <c r="N67" s="193">
        <v>0</v>
      </c>
      <c r="O67" s="187">
        <v>0</v>
      </c>
      <c r="P67" s="187">
        <v>0</v>
      </c>
      <c r="Q67" s="183">
        <v>1</v>
      </c>
      <c r="R67" s="208">
        <v>1</v>
      </c>
      <c r="S67" s="199" t="s">
        <v>26</v>
      </c>
      <c r="T67" s="199"/>
      <c r="U67" s="115">
        <v>2</v>
      </c>
      <c r="V67" s="185"/>
      <c r="W67" s="185"/>
      <c r="X67" s="100"/>
      <c r="Y67" s="38" t="s">
        <v>24</v>
      </c>
      <c r="Z67" s="38" t="s">
        <v>24</v>
      </c>
      <c r="AA67" s="38">
        <v>0</v>
      </c>
      <c r="AB67" s="38"/>
    </row>
    <row r="68" spans="2:28" s="39" customFormat="1" ht="14.6">
      <c r="B68" s="366" t="s">
        <v>131</v>
      </c>
      <c r="C68" s="606"/>
      <c r="D68" s="607" t="s">
        <v>81</v>
      </c>
      <c r="E68" s="611" t="s">
        <v>80</v>
      </c>
      <c r="F68" s="612">
        <v>110</v>
      </c>
      <c r="G68" s="608">
        <v>0</v>
      </c>
      <c r="H68" s="609">
        <v>1</v>
      </c>
      <c r="I68" s="374">
        <v>1</v>
      </c>
      <c r="J68" s="612"/>
      <c r="K68" s="608"/>
      <c r="L68" s="609"/>
      <c r="M68" s="374"/>
      <c r="N68" s="613"/>
      <c r="O68" s="608"/>
      <c r="P68" s="608"/>
      <c r="Q68" s="609"/>
      <c r="R68" s="376"/>
      <c r="S68" s="610" t="s">
        <v>56</v>
      </c>
      <c r="T68" s="610">
        <v>4</v>
      </c>
      <c r="U68" s="115">
        <v>0</v>
      </c>
      <c r="V68" s="185"/>
      <c r="W68" s="185"/>
      <c r="X68" s="100"/>
      <c r="Y68" s="38" t="s">
        <v>24</v>
      </c>
      <c r="Z68" s="38" t="s">
        <v>24</v>
      </c>
      <c r="AA68" s="38">
        <v>0</v>
      </c>
      <c r="AB68" s="38"/>
    </row>
    <row r="69" spans="2:28" s="39" customFormat="1" ht="14.6" collapsed="1">
      <c r="B69" s="230" t="s">
        <v>133</v>
      </c>
      <c r="C69" s="231"/>
      <c r="D69" s="232" t="s">
        <v>283</v>
      </c>
      <c r="E69" s="238" t="s">
        <v>80</v>
      </c>
      <c r="F69" s="239">
        <v>83</v>
      </c>
      <c r="G69" s="223">
        <v>0</v>
      </c>
      <c r="H69" s="224">
        <v>1</v>
      </c>
      <c r="I69" s="222">
        <v>1</v>
      </c>
      <c r="J69" s="239">
        <v>0</v>
      </c>
      <c r="K69" s="223">
        <v>0</v>
      </c>
      <c r="L69" s="224">
        <v>1</v>
      </c>
      <c r="M69" s="222">
        <v>1</v>
      </c>
      <c r="N69" s="240">
        <v>0</v>
      </c>
      <c r="O69" s="223">
        <v>0</v>
      </c>
      <c r="P69" s="223">
        <v>0</v>
      </c>
      <c r="Q69" s="224">
        <v>1</v>
      </c>
      <c r="R69" s="233">
        <v>1</v>
      </c>
      <c r="S69" s="225" t="s">
        <v>26</v>
      </c>
      <c r="T69" s="225"/>
      <c r="U69" s="115">
        <v>0</v>
      </c>
      <c r="V69" s="185" t="s">
        <v>24</v>
      </c>
      <c r="W69" s="185" t="s">
        <v>24</v>
      </c>
      <c r="X69" s="100"/>
      <c r="Y69" s="38" t="s">
        <v>24</v>
      </c>
      <c r="Z69" s="38" t="s">
        <v>24</v>
      </c>
      <c r="AA69" s="38">
        <v>0</v>
      </c>
      <c r="AB69" s="38"/>
    </row>
    <row r="70" spans="2:28" s="39" customFormat="1" ht="14.6">
      <c r="B70" s="180" t="s">
        <v>135</v>
      </c>
      <c r="C70" s="209"/>
      <c r="D70" s="210" t="s">
        <v>284</v>
      </c>
      <c r="E70" s="197" t="s">
        <v>80</v>
      </c>
      <c r="F70" s="186">
        <v>27</v>
      </c>
      <c r="G70" s="177">
        <v>0</v>
      </c>
      <c r="H70" s="178">
        <v>1</v>
      </c>
      <c r="I70" s="176">
        <v>1</v>
      </c>
      <c r="J70" s="186">
        <v>0</v>
      </c>
      <c r="K70" s="177">
        <v>0</v>
      </c>
      <c r="L70" s="178">
        <v>1</v>
      </c>
      <c r="M70" s="176">
        <v>1</v>
      </c>
      <c r="N70" s="192">
        <v>0</v>
      </c>
      <c r="O70" s="177">
        <v>0</v>
      </c>
      <c r="P70" s="177">
        <v>0</v>
      </c>
      <c r="Q70" s="178">
        <v>1</v>
      </c>
      <c r="R70" s="211">
        <v>1</v>
      </c>
      <c r="S70" s="212" t="s">
        <v>56</v>
      </c>
      <c r="T70" s="212"/>
      <c r="U70" s="115">
        <v>0</v>
      </c>
      <c r="V70" s="185" t="s">
        <v>24</v>
      </c>
      <c r="W70" s="185" t="s">
        <v>24</v>
      </c>
      <c r="X70" s="100"/>
      <c r="Y70" s="38" t="s">
        <v>24</v>
      </c>
      <c r="Z70" s="38" t="s">
        <v>24</v>
      </c>
      <c r="AA70" s="38">
        <v>0</v>
      </c>
      <c r="AB70" s="38"/>
    </row>
    <row r="71" spans="2:28" s="39" customFormat="1" ht="14.6" collapsed="1">
      <c r="B71" s="230" t="s">
        <v>136</v>
      </c>
      <c r="C71" s="231"/>
      <c r="D71" s="232" t="s">
        <v>137</v>
      </c>
      <c r="E71" s="238" t="s">
        <v>80</v>
      </c>
      <c r="F71" s="239">
        <v>0</v>
      </c>
      <c r="G71" s="223">
        <v>0</v>
      </c>
      <c r="H71" s="224">
        <v>1</v>
      </c>
      <c r="I71" s="222">
        <v>1</v>
      </c>
      <c r="J71" s="239">
        <v>0</v>
      </c>
      <c r="K71" s="223">
        <v>0</v>
      </c>
      <c r="L71" s="224">
        <v>1</v>
      </c>
      <c r="M71" s="222">
        <v>1</v>
      </c>
      <c r="N71" s="240">
        <v>0</v>
      </c>
      <c r="O71" s="223">
        <v>0</v>
      </c>
      <c r="P71" s="223">
        <v>0</v>
      </c>
      <c r="Q71" s="224">
        <v>1</v>
      </c>
      <c r="R71" s="233">
        <v>1</v>
      </c>
      <c r="S71" s="225" t="s">
        <v>26</v>
      </c>
      <c r="T71" s="225"/>
      <c r="U71" s="115">
        <v>0</v>
      </c>
      <c r="V71" s="185" t="s">
        <v>24</v>
      </c>
      <c r="W71" s="185" t="s">
        <v>24</v>
      </c>
      <c r="X71" s="100"/>
      <c r="Y71" s="38" t="s">
        <v>24</v>
      </c>
      <c r="Z71" s="38" t="s">
        <v>24</v>
      </c>
      <c r="AA71" s="38">
        <v>0</v>
      </c>
      <c r="AB71" s="38"/>
    </row>
    <row r="72" spans="2:28" s="39" customFormat="1" ht="14.6">
      <c r="B72" s="180" t="s">
        <v>138</v>
      </c>
      <c r="C72" s="209"/>
      <c r="D72" s="210" t="s">
        <v>139</v>
      </c>
      <c r="E72" s="197" t="s">
        <v>80</v>
      </c>
      <c r="F72" s="186">
        <v>0</v>
      </c>
      <c r="G72" s="177">
        <v>0</v>
      </c>
      <c r="H72" s="178">
        <v>1</v>
      </c>
      <c r="I72" s="176">
        <v>1</v>
      </c>
      <c r="J72" s="186">
        <v>0</v>
      </c>
      <c r="K72" s="177">
        <v>0</v>
      </c>
      <c r="L72" s="178">
        <v>1</v>
      </c>
      <c r="M72" s="176">
        <v>1</v>
      </c>
      <c r="N72" s="192">
        <v>0</v>
      </c>
      <c r="O72" s="177">
        <v>0</v>
      </c>
      <c r="P72" s="177">
        <v>0</v>
      </c>
      <c r="Q72" s="178">
        <v>1</v>
      </c>
      <c r="R72" s="211">
        <v>1</v>
      </c>
      <c r="S72" s="212" t="s">
        <v>56</v>
      </c>
      <c r="T72" s="212"/>
      <c r="U72" s="115">
        <v>0</v>
      </c>
      <c r="V72" s="185" t="s">
        <v>24</v>
      </c>
      <c r="W72" s="185" t="s">
        <v>24</v>
      </c>
      <c r="X72" s="100"/>
      <c r="Y72" s="38" t="s">
        <v>24</v>
      </c>
      <c r="Z72" s="38" t="s">
        <v>24</v>
      </c>
      <c r="AA72" s="38">
        <v>0</v>
      </c>
      <c r="AB72" s="38"/>
    </row>
    <row r="73" spans="2:28" s="39" customFormat="1" ht="14.6" collapsed="1">
      <c r="B73" s="190" t="s">
        <v>140</v>
      </c>
      <c r="C73" s="206"/>
      <c r="D73" s="207" t="s">
        <v>141</v>
      </c>
      <c r="E73" s="196" t="s">
        <v>55</v>
      </c>
      <c r="F73" s="188">
        <v>0</v>
      </c>
      <c r="G73" s="187">
        <v>0</v>
      </c>
      <c r="H73" s="183">
        <v>1</v>
      </c>
      <c r="I73" s="181">
        <v>1</v>
      </c>
      <c r="J73" s="188"/>
      <c r="K73" s="187"/>
      <c r="L73" s="183"/>
      <c r="M73" s="181"/>
      <c r="N73" s="193"/>
      <c r="O73" s="187"/>
      <c r="P73" s="187"/>
      <c r="Q73" s="183"/>
      <c r="R73" s="208"/>
      <c r="S73" s="199" t="s">
        <v>26</v>
      </c>
      <c r="T73" s="199"/>
      <c r="U73" s="115">
        <v>2</v>
      </c>
      <c r="V73" s="185"/>
      <c r="W73" s="185"/>
      <c r="X73" s="100"/>
      <c r="Y73" s="38" t="s">
        <v>24</v>
      </c>
      <c r="Z73" s="38" t="s">
        <v>24</v>
      </c>
      <c r="AA73" s="38">
        <v>0</v>
      </c>
      <c r="AB73" s="38"/>
    </row>
    <row r="74" spans="2:28" s="39" customFormat="1" ht="14.6">
      <c r="B74" s="180" t="s">
        <v>142</v>
      </c>
      <c r="C74" s="209"/>
      <c r="D74" s="210" t="s">
        <v>143</v>
      </c>
      <c r="E74" s="197" t="s">
        <v>55</v>
      </c>
      <c r="F74" s="189">
        <v>0</v>
      </c>
      <c r="G74" s="179">
        <v>0</v>
      </c>
      <c r="H74" s="178">
        <v>1</v>
      </c>
      <c r="I74" s="176">
        <v>1</v>
      </c>
      <c r="J74" s="189"/>
      <c r="K74" s="179"/>
      <c r="L74" s="178"/>
      <c r="M74" s="176"/>
      <c r="N74" s="194"/>
      <c r="O74" s="179"/>
      <c r="P74" s="179"/>
      <c r="Q74" s="178"/>
      <c r="R74" s="211"/>
      <c r="S74" s="212" t="s">
        <v>56</v>
      </c>
      <c r="T74" s="212"/>
      <c r="U74" s="115">
        <v>2</v>
      </c>
      <c r="V74" s="185"/>
      <c r="W74" s="185"/>
      <c r="X74" s="100"/>
      <c r="Y74" s="38" t="s">
        <v>24</v>
      </c>
      <c r="Z74" s="38" t="s">
        <v>24</v>
      </c>
      <c r="AA74" s="38">
        <v>0</v>
      </c>
      <c r="AB74" s="38"/>
    </row>
    <row r="75" spans="2:28" s="39" customFormat="1" ht="14.6">
      <c r="B75" s="173" t="s">
        <v>24</v>
      </c>
      <c r="C75" s="213"/>
      <c r="D75" s="214" t="s">
        <v>174</v>
      </c>
      <c r="E75" s="195"/>
      <c r="F75" s="556"/>
      <c r="G75" s="556"/>
      <c r="H75" s="169"/>
      <c r="I75" s="167"/>
      <c r="J75" s="556"/>
      <c r="K75" s="556"/>
      <c r="L75" s="169"/>
      <c r="M75" s="167"/>
      <c r="N75" s="557"/>
      <c r="O75" s="556"/>
      <c r="P75" s="556"/>
      <c r="Q75" s="169"/>
      <c r="R75" s="215"/>
      <c r="S75" s="205" t="s">
        <v>25</v>
      </c>
      <c r="T75" s="205"/>
      <c r="U75" s="115">
        <v>2</v>
      </c>
      <c r="V75" s="94"/>
      <c r="W75" s="94"/>
      <c r="X75" s="100"/>
      <c r="Y75" s="38" t="s">
        <v>24</v>
      </c>
      <c r="Z75" s="38" t="s">
        <v>24</v>
      </c>
      <c r="AA75" s="38">
        <v>0</v>
      </c>
      <c r="AB75" s="38"/>
    </row>
    <row r="76" spans="2:28" s="39" customFormat="1" ht="24">
      <c r="B76" s="439" t="s">
        <v>175</v>
      </c>
      <c r="C76" s="584">
        <v>2</v>
      </c>
      <c r="D76" s="589" t="s">
        <v>300</v>
      </c>
      <c r="E76" s="630" t="s">
        <v>55</v>
      </c>
      <c r="F76" s="631">
        <v>0.02</v>
      </c>
      <c r="G76" s="581">
        <v>0.02</v>
      </c>
      <c r="H76" s="40">
        <v>1</v>
      </c>
      <c r="I76" s="41">
        <v>1</v>
      </c>
      <c r="J76" s="631">
        <v>0.42</v>
      </c>
      <c r="K76" s="581">
        <v>0.42</v>
      </c>
      <c r="L76" s="40">
        <v>1</v>
      </c>
      <c r="M76" s="41">
        <v>1</v>
      </c>
      <c r="N76" s="632">
        <v>0</v>
      </c>
      <c r="O76" s="581"/>
      <c r="P76" s="581"/>
      <c r="Q76" s="40"/>
      <c r="R76" s="441"/>
      <c r="S76" s="38" t="s">
        <v>176</v>
      </c>
      <c r="T76" s="38"/>
      <c r="U76" s="115">
        <v>0</v>
      </c>
      <c r="V76" s="185" t="s">
        <v>356</v>
      </c>
      <c r="W76" s="185" t="s">
        <v>301</v>
      </c>
      <c r="X76" s="100"/>
      <c r="Y76" s="38" t="s">
        <v>176</v>
      </c>
      <c r="Z76" s="38" t="s">
        <v>177</v>
      </c>
      <c r="AA76" s="38">
        <v>0</v>
      </c>
      <c r="AB76" s="38"/>
    </row>
    <row r="77" spans="2:28" s="39" customFormat="1" ht="14.6" collapsed="1">
      <c r="B77" s="342" t="s">
        <v>175</v>
      </c>
      <c r="C77" s="585">
        <v>3</v>
      </c>
      <c r="D77" s="590" t="s">
        <v>302</v>
      </c>
      <c r="E77" s="633" t="s">
        <v>303</v>
      </c>
      <c r="F77" s="634">
        <v>0</v>
      </c>
      <c r="G77" s="573">
        <v>0</v>
      </c>
      <c r="H77" s="574">
        <v>1</v>
      </c>
      <c r="I77" s="338">
        <v>1</v>
      </c>
      <c r="J77" s="634">
        <v>0</v>
      </c>
      <c r="K77" s="573">
        <v>0</v>
      </c>
      <c r="L77" s="574">
        <v>1</v>
      </c>
      <c r="M77" s="338">
        <v>1</v>
      </c>
      <c r="N77" s="635">
        <v>0</v>
      </c>
      <c r="O77" s="573"/>
      <c r="P77" s="573"/>
      <c r="Q77" s="574"/>
      <c r="R77" s="344"/>
      <c r="S77" s="575" t="s">
        <v>176</v>
      </c>
      <c r="T77" s="575"/>
      <c r="U77" s="115">
        <v>0</v>
      </c>
      <c r="V77" s="185" t="s">
        <v>24</v>
      </c>
      <c r="W77" s="185" t="s">
        <v>24</v>
      </c>
      <c r="X77" s="100"/>
      <c r="Y77" s="38" t="s">
        <v>176</v>
      </c>
      <c r="Z77" s="38" t="s">
        <v>177</v>
      </c>
      <c r="AA77" s="38">
        <v>0</v>
      </c>
      <c r="AB77" s="38"/>
    </row>
    <row r="78" spans="2:28" s="39" customFormat="1" ht="14.6">
      <c r="B78" s="439" t="s">
        <v>175</v>
      </c>
      <c r="C78" s="584">
        <v>4</v>
      </c>
      <c r="D78" s="589" t="s">
        <v>304</v>
      </c>
      <c r="E78" s="630" t="s">
        <v>55</v>
      </c>
      <c r="F78" s="631">
        <v>0.3</v>
      </c>
      <c r="G78" s="581">
        <v>0.3</v>
      </c>
      <c r="H78" s="40">
        <v>1</v>
      </c>
      <c r="I78" s="41">
        <v>1</v>
      </c>
      <c r="J78" s="631">
        <v>0.85</v>
      </c>
      <c r="K78" s="581">
        <v>0.85</v>
      </c>
      <c r="L78" s="40">
        <v>1</v>
      </c>
      <c r="M78" s="41">
        <v>1</v>
      </c>
      <c r="N78" s="632">
        <v>0</v>
      </c>
      <c r="O78" s="581"/>
      <c r="P78" s="581"/>
      <c r="Q78" s="40"/>
      <c r="R78" s="441"/>
      <c r="S78" s="38" t="s">
        <v>176</v>
      </c>
      <c r="T78" s="38"/>
      <c r="U78" s="115">
        <v>0</v>
      </c>
      <c r="V78" s="185" t="s">
        <v>357</v>
      </c>
      <c r="W78" s="185" t="s">
        <v>305</v>
      </c>
      <c r="X78" s="100"/>
      <c r="Y78" s="38" t="s">
        <v>176</v>
      </c>
      <c r="Z78" s="38" t="s">
        <v>177</v>
      </c>
      <c r="AA78" s="38">
        <v>0</v>
      </c>
      <c r="AB78" s="38"/>
    </row>
    <row r="79" spans="2:28" s="39" customFormat="1" ht="14.6">
      <c r="B79" s="439" t="s">
        <v>175</v>
      </c>
      <c r="C79" s="584">
        <v>5</v>
      </c>
      <c r="D79" s="589" t="s">
        <v>302</v>
      </c>
      <c r="E79" s="630" t="s">
        <v>303</v>
      </c>
      <c r="F79" s="636">
        <v>0</v>
      </c>
      <c r="G79" s="43">
        <v>0</v>
      </c>
      <c r="H79" s="40">
        <v>1</v>
      </c>
      <c r="I79" s="41">
        <v>1</v>
      </c>
      <c r="J79" s="636">
        <v>0</v>
      </c>
      <c r="K79" s="43">
        <v>0</v>
      </c>
      <c r="L79" s="40">
        <v>1</v>
      </c>
      <c r="M79" s="41">
        <v>1</v>
      </c>
      <c r="N79" s="637">
        <v>0</v>
      </c>
      <c r="O79" s="43"/>
      <c r="P79" s="43"/>
      <c r="Q79" s="40"/>
      <c r="R79" s="441"/>
      <c r="S79" s="38" t="s">
        <v>176</v>
      </c>
      <c r="T79" s="38"/>
      <c r="U79" s="115">
        <v>0</v>
      </c>
      <c r="V79" s="185" t="s">
        <v>24</v>
      </c>
      <c r="W79" s="185" t="s">
        <v>24</v>
      </c>
      <c r="X79" s="100"/>
      <c r="Y79" s="38" t="s">
        <v>176</v>
      </c>
      <c r="Z79" s="38" t="s">
        <v>177</v>
      </c>
      <c r="AA79" s="38">
        <v>0</v>
      </c>
      <c r="AB79" s="38"/>
    </row>
    <row r="80" spans="2:28" s="39" customFormat="1" ht="14.6">
      <c r="B80" s="439" t="s">
        <v>175</v>
      </c>
      <c r="C80" s="584">
        <v>6</v>
      </c>
      <c r="D80" s="589" t="s">
        <v>306</v>
      </c>
      <c r="E80" s="630" t="s">
        <v>55</v>
      </c>
      <c r="F80" s="631">
        <v>0.01</v>
      </c>
      <c r="G80" s="581">
        <v>0.01</v>
      </c>
      <c r="H80" s="40">
        <v>1</v>
      </c>
      <c r="I80" s="41">
        <v>1</v>
      </c>
      <c r="J80" s="631">
        <v>0.92</v>
      </c>
      <c r="K80" s="581">
        <v>0.92</v>
      </c>
      <c r="L80" s="40">
        <v>1</v>
      </c>
      <c r="M80" s="41">
        <v>1</v>
      </c>
      <c r="N80" s="632">
        <v>0</v>
      </c>
      <c r="O80" s="581"/>
      <c r="P80" s="581"/>
      <c r="Q80" s="40"/>
      <c r="R80" s="441"/>
      <c r="S80" s="38" t="s">
        <v>176</v>
      </c>
      <c r="T80" s="38"/>
      <c r="U80" s="115">
        <v>0</v>
      </c>
      <c r="V80" s="185" t="s">
        <v>307</v>
      </c>
      <c r="W80" s="185" t="s">
        <v>24</v>
      </c>
      <c r="X80" s="100"/>
      <c r="Y80" s="38" t="s">
        <v>176</v>
      </c>
      <c r="Z80" s="38" t="s">
        <v>177</v>
      </c>
      <c r="AA80" s="38">
        <v>0</v>
      </c>
      <c r="AB80" s="38"/>
    </row>
    <row r="81" spans="2:28" s="39" customFormat="1" ht="14.6">
      <c r="B81" s="342" t="s">
        <v>175</v>
      </c>
      <c r="C81" s="585">
        <v>7</v>
      </c>
      <c r="D81" s="590" t="s">
        <v>302</v>
      </c>
      <c r="E81" s="633" t="s">
        <v>303</v>
      </c>
      <c r="F81" s="634">
        <v>0</v>
      </c>
      <c r="G81" s="573">
        <v>0</v>
      </c>
      <c r="H81" s="574">
        <v>1</v>
      </c>
      <c r="I81" s="338">
        <v>1</v>
      </c>
      <c r="J81" s="634">
        <v>0</v>
      </c>
      <c r="K81" s="573">
        <v>0</v>
      </c>
      <c r="L81" s="574">
        <v>1</v>
      </c>
      <c r="M81" s="338">
        <v>1</v>
      </c>
      <c r="N81" s="635">
        <v>0</v>
      </c>
      <c r="O81" s="573"/>
      <c r="P81" s="573"/>
      <c r="Q81" s="574"/>
      <c r="R81" s="344"/>
      <c r="S81" s="575" t="s">
        <v>176</v>
      </c>
      <c r="T81" s="575"/>
      <c r="U81" s="115">
        <v>0</v>
      </c>
      <c r="V81" s="185" t="s">
        <v>24</v>
      </c>
      <c r="W81" s="185" t="s">
        <v>24</v>
      </c>
      <c r="X81" s="100"/>
      <c r="Y81" s="38" t="s">
        <v>176</v>
      </c>
      <c r="Z81" s="38" t="s">
        <v>177</v>
      </c>
      <c r="AA81" s="38">
        <v>0</v>
      </c>
      <c r="AB81" s="38"/>
    </row>
    <row r="82" spans="2:28" s="39" customFormat="1" ht="14.6">
      <c r="B82" s="342" t="s">
        <v>175</v>
      </c>
      <c r="C82" s="585">
        <v>8</v>
      </c>
      <c r="D82" s="590" t="s">
        <v>308</v>
      </c>
      <c r="E82" s="633" t="s">
        <v>55</v>
      </c>
      <c r="F82" s="638">
        <v>0.1</v>
      </c>
      <c r="G82" s="576">
        <v>0.1</v>
      </c>
      <c r="H82" s="574">
        <v>1</v>
      </c>
      <c r="I82" s="338">
        <v>1</v>
      </c>
      <c r="J82" s="638">
        <v>0.8</v>
      </c>
      <c r="K82" s="576">
        <v>0.8</v>
      </c>
      <c r="L82" s="574">
        <v>1</v>
      </c>
      <c r="M82" s="338">
        <v>1</v>
      </c>
      <c r="N82" s="639">
        <v>0</v>
      </c>
      <c r="O82" s="576"/>
      <c r="P82" s="576"/>
      <c r="Q82" s="574"/>
      <c r="R82" s="344"/>
      <c r="S82" s="575" t="s">
        <v>176</v>
      </c>
      <c r="T82" s="575"/>
      <c r="U82" s="115">
        <v>0</v>
      </c>
      <c r="V82" s="185" t="s">
        <v>358</v>
      </c>
      <c r="W82" s="185" t="s">
        <v>24</v>
      </c>
      <c r="X82" s="100"/>
      <c r="Y82" s="38" t="s">
        <v>176</v>
      </c>
      <c r="Z82" s="38" t="s">
        <v>177</v>
      </c>
      <c r="AA82" s="38">
        <v>0</v>
      </c>
      <c r="AB82" s="38"/>
    </row>
    <row r="83" spans="2:28" s="39" customFormat="1" ht="14.6">
      <c r="B83" s="439" t="s">
        <v>175</v>
      </c>
      <c r="C83" s="584">
        <v>9</v>
      </c>
      <c r="D83" s="589" t="s">
        <v>302</v>
      </c>
      <c r="E83" s="630" t="s">
        <v>303</v>
      </c>
      <c r="F83" s="636">
        <v>0</v>
      </c>
      <c r="G83" s="43">
        <v>0</v>
      </c>
      <c r="H83" s="40">
        <v>1</v>
      </c>
      <c r="I83" s="41">
        <v>1</v>
      </c>
      <c r="J83" s="636">
        <v>0</v>
      </c>
      <c r="K83" s="43">
        <v>0</v>
      </c>
      <c r="L83" s="40">
        <v>1</v>
      </c>
      <c r="M83" s="41">
        <v>1</v>
      </c>
      <c r="N83" s="637">
        <v>0</v>
      </c>
      <c r="O83" s="43"/>
      <c r="P83" s="43"/>
      <c r="Q83" s="40"/>
      <c r="R83" s="441"/>
      <c r="S83" s="38" t="s">
        <v>176</v>
      </c>
      <c r="T83" s="38"/>
      <c r="U83" s="115">
        <v>0</v>
      </c>
      <c r="V83" s="185" t="s">
        <v>24</v>
      </c>
      <c r="W83" s="185" t="s">
        <v>24</v>
      </c>
      <c r="X83" s="100"/>
      <c r="Y83" s="38" t="s">
        <v>176</v>
      </c>
      <c r="Z83" s="38" t="s">
        <v>177</v>
      </c>
      <c r="AA83" s="38">
        <v>0</v>
      </c>
      <c r="AB83" s="38"/>
    </row>
    <row r="84" spans="2:28" s="39" customFormat="1" ht="14.6" collapsed="1">
      <c r="B84" s="342" t="s">
        <v>175</v>
      </c>
      <c r="C84" s="585">
        <v>10</v>
      </c>
      <c r="D84" s="590" t="s">
        <v>309</v>
      </c>
      <c r="E84" s="633" t="s">
        <v>55</v>
      </c>
      <c r="F84" s="638">
        <v>0.1</v>
      </c>
      <c r="G84" s="576">
        <v>0.1</v>
      </c>
      <c r="H84" s="574">
        <v>1</v>
      </c>
      <c r="I84" s="338">
        <v>1</v>
      </c>
      <c r="J84" s="638">
        <v>0.6</v>
      </c>
      <c r="K84" s="576">
        <v>0.6</v>
      </c>
      <c r="L84" s="574">
        <v>1</v>
      </c>
      <c r="M84" s="338">
        <v>1</v>
      </c>
      <c r="N84" s="639">
        <v>0</v>
      </c>
      <c r="O84" s="576"/>
      <c r="P84" s="576"/>
      <c r="Q84" s="574"/>
      <c r="R84" s="344"/>
      <c r="S84" s="575" t="s">
        <v>176</v>
      </c>
      <c r="T84" s="575"/>
      <c r="U84" s="115">
        <v>0</v>
      </c>
      <c r="V84" s="185" t="s">
        <v>310</v>
      </c>
      <c r="W84" s="185" t="s">
        <v>311</v>
      </c>
      <c r="X84" s="100"/>
      <c r="Y84" s="38" t="s">
        <v>176</v>
      </c>
      <c r="Z84" s="38" t="s">
        <v>177</v>
      </c>
      <c r="AA84" s="38">
        <v>0</v>
      </c>
      <c r="AB84" s="38"/>
    </row>
    <row r="85" spans="2:28" s="39" customFormat="1" ht="14.6" collapsed="1">
      <c r="B85" s="439" t="s">
        <v>175</v>
      </c>
      <c r="C85" s="584">
        <v>11</v>
      </c>
      <c r="D85" s="589" t="s">
        <v>302</v>
      </c>
      <c r="E85" s="630" t="s">
        <v>303</v>
      </c>
      <c r="F85" s="636">
        <v>0</v>
      </c>
      <c r="G85" s="43">
        <v>0</v>
      </c>
      <c r="H85" s="40">
        <v>1</v>
      </c>
      <c r="I85" s="41">
        <v>1</v>
      </c>
      <c r="J85" s="636">
        <v>0</v>
      </c>
      <c r="K85" s="43">
        <v>0</v>
      </c>
      <c r="L85" s="40">
        <v>1</v>
      </c>
      <c r="M85" s="41">
        <v>1</v>
      </c>
      <c r="N85" s="637">
        <v>0</v>
      </c>
      <c r="O85" s="43"/>
      <c r="P85" s="43"/>
      <c r="Q85" s="40"/>
      <c r="R85" s="441"/>
      <c r="S85" s="38" t="s">
        <v>176</v>
      </c>
      <c r="T85" s="38"/>
      <c r="U85" s="115">
        <v>0</v>
      </c>
      <c r="V85" s="185" t="s">
        <v>24</v>
      </c>
      <c r="W85" s="185" t="s">
        <v>24</v>
      </c>
      <c r="X85" s="100"/>
      <c r="Y85" s="38" t="s">
        <v>176</v>
      </c>
      <c r="Z85" s="38" t="s">
        <v>177</v>
      </c>
      <c r="AA85" s="38">
        <v>0</v>
      </c>
      <c r="AB85" s="38"/>
    </row>
    <row r="86" spans="2:28" s="39" customFormat="1" ht="14.6">
      <c r="B86" s="342" t="s">
        <v>175</v>
      </c>
      <c r="C86" s="585">
        <v>12</v>
      </c>
      <c r="D86" s="590" t="s">
        <v>312</v>
      </c>
      <c r="E86" s="633" t="s">
        <v>55</v>
      </c>
      <c r="F86" s="638">
        <v>0</v>
      </c>
      <c r="G86" s="576">
        <v>0</v>
      </c>
      <c r="H86" s="574">
        <v>1</v>
      </c>
      <c r="I86" s="338">
        <v>1</v>
      </c>
      <c r="J86" s="638">
        <v>0</v>
      </c>
      <c r="K86" s="576">
        <v>0</v>
      </c>
      <c r="L86" s="574">
        <v>1</v>
      </c>
      <c r="M86" s="338">
        <v>1</v>
      </c>
      <c r="N86" s="639">
        <v>0</v>
      </c>
      <c r="O86" s="576"/>
      <c r="P86" s="576"/>
      <c r="Q86" s="574"/>
      <c r="R86" s="344"/>
      <c r="S86" s="575" t="s">
        <v>176</v>
      </c>
      <c r="T86" s="575"/>
      <c r="U86" s="115">
        <v>0</v>
      </c>
      <c r="V86" s="185" t="s">
        <v>24</v>
      </c>
      <c r="W86" s="185" t="s">
        <v>24</v>
      </c>
      <c r="X86" s="100"/>
      <c r="Y86" s="38" t="s">
        <v>176</v>
      </c>
      <c r="Z86" s="38" t="s">
        <v>177</v>
      </c>
      <c r="AA86" s="38">
        <v>0</v>
      </c>
      <c r="AB86" s="38"/>
    </row>
    <row r="87" spans="2:28" s="39" customFormat="1" ht="14.6">
      <c r="B87" s="439" t="s">
        <v>175</v>
      </c>
      <c r="C87" s="584">
        <v>13</v>
      </c>
      <c r="D87" s="589" t="s">
        <v>302</v>
      </c>
      <c r="E87" s="630" t="s">
        <v>303</v>
      </c>
      <c r="F87" s="636">
        <v>0</v>
      </c>
      <c r="G87" s="43">
        <v>0</v>
      </c>
      <c r="H87" s="40">
        <v>1</v>
      </c>
      <c r="I87" s="41">
        <v>1</v>
      </c>
      <c r="J87" s="636">
        <v>0</v>
      </c>
      <c r="K87" s="43">
        <v>0</v>
      </c>
      <c r="L87" s="40">
        <v>1</v>
      </c>
      <c r="M87" s="41">
        <v>1</v>
      </c>
      <c r="N87" s="637">
        <v>0</v>
      </c>
      <c r="O87" s="43"/>
      <c r="P87" s="43"/>
      <c r="Q87" s="40"/>
      <c r="R87" s="441"/>
      <c r="S87" s="38" t="s">
        <v>176</v>
      </c>
      <c r="T87" s="38"/>
      <c r="U87" s="115">
        <v>0</v>
      </c>
      <c r="V87" s="185" t="s">
        <v>24</v>
      </c>
      <c r="W87" s="185" t="s">
        <v>24</v>
      </c>
      <c r="X87" s="100"/>
      <c r="Y87" s="38" t="s">
        <v>176</v>
      </c>
      <c r="Z87" s="38" t="s">
        <v>177</v>
      </c>
      <c r="AA87" s="38">
        <v>0</v>
      </c>
      <c r="AB87" s="38"/>
    </row>
    <row r="88" spans="2:28" s="39" customFormat="1" ht="14.6" collapsed="1">
      <c r="B88" s="342" t="s">
        <v>175</v>
      </c>
      <c r="C88" s="585">
        <v>14</v>
      </c>
      <c r="D88" s="590" t="s">
        <v>313</v>
      </c>
      <c r="E88" s="633" t="s">
        <v>55</v>
      </c>
      <c r="F88" s="638">
        <v>0</v>
      </c>
      <c r="G88" s="576">
        <v>0</v>
      </c>
      <c r="H88" s="574">
        <v>1</v>
      </c>
      <c r="I88" s="338">
        <v>1</v>
      </c>
      <c r="J88" s="638">
        <v>0</v>
      </c>
      <c r="K88" s="576">
        <v>0</v>
      </c>
      <c r="L88" s="574">
        <v>1</v>
      </c>
      <c r="M88" s="338">
        <v>1</v>
      </c>
      <c r="N88" s="639">
        <v>0</v>
      </c>
      <c r="O88" s="576"/>
      <c r="P88" s="576"/>
      <c r="Q88" s="574"/>
      <c r="R88" s="344"/>
      <c r="S88" s="575" t="s">
        <v>176</v>
      </c>
      <c r="T88" s="575"/>
      <c r="U88" s="115">
        <v>0</v>
      </c>
      <c r="V88" s="185" t="s">
        <v>24</v>
      </c>
      <c r="W88" s="185" t="s">
        <v>24</v>
      </c>
      <c r="X88" s="100"/>
      <c r="Y88" s="38" t="s">
        <v>176</v>
      </c>
      <c r="Z88" s="38" t="s">
        <v>177</v>
      </c>
      <c r="AA88" s="38">
        <v>0</v>
      </c>
      <c r="AB88" s="38"/>
    </row>
    <row r="89" spans="2:28" s="39" customFormat="1" ht="14.6">
      <c r="B89" s="439" t="s">
        <v>175</v>
      </c>
      <c r="C89" s="584">
        <v>15</v>
      </c>
      <c r="D89" s="589" t="s">
        <v>314</v>
      </c>
      <c r="E89" s="630" t="s">
        <v>303</v>
      </c>
      <c r="F89" s="636">
        <v>0</v>
      </c>
      <c r="G89" s="43">
        <v>0</v>
      </c>
      <c r="H89" s="40">
        <v>1</v>
      </c>
      <c r="I89" s="41">
        <v>1</v>
      </c>
      <c r="J89" s="636">
        <v>0</v>
      </c>
      <c r="K89" s="43">
        <v>0</v>
      </c>
      <c r="L89" s="40">
        <v>1</v>
      </c>
      <c r="M89" s="41">
        <v>1</v>
      </c>
      <c r="N89" s="637">
        <v>0</v>
      </c>
      <c r="O89" s="43"/>
      <c r="P89" s="43"/>
      <c r="Q89" s="40"/>
      <c r="R89" s="441"/>
      <c r="S89" s="38" t="s">
        <v>176</v>
      </c>
      <c r="T89" s="38"/>
      <c r="U89" s="115">
        <v>0</v>
      </c>
      <c r="V89" s="185" t="s">
        <v>24</v>
      </c>
      <c r="W89" s="185" t="s">
        <v>24</v>
      </c>
      <c r="X89" s="100"/>
      <c r="Y89" s="38" t="s">
        <v>176</v>
      </c>
      <c r="Z89" s="38" t="s">
        <v>177</v>
      </c>
      <c r="AA89" s="38">
        <v>0</v>
      </c>
      <c r="AB89" s="38"/>
    </row>
    <row r="90" spans="2:28" s="39" customFormat="1" ht="24" collapsed="1">
      <c r="B90" s="342" t="s">
        <v>175</v>
      </c>
      <c r="C90" s="585">
        <v>16</v>
      </c>
      <c r="D90" s="590" t="s">
        <v>359</v>
      </c>
      <c r="E90" s="633" t="s">
        <v>55</v>
      </c>
      <c r="F90" s="638">
        <v>0</v>
      </c>
      <c r="G90" s="576">
        <v>0</v>
      </c>
      <c r="H90" s="574">
        <v>1</v>
      </c>
      <c r="I90" s="338">
        <v>1</v>
      </c>
      <c r="J90" s="638">
        <v>1</v>
      </c>
      <c r="K90" s="576">
        <v>1</v>
      </c>
      <c r="L90" s="574">
        <v>1</v>
      </c>
      <c r="M90" s="338">
        <v>1</v>
      </c>
      <c r="N90" s="639">
        <v>0</v>
      </c>
      <c r="O90" s="576"/>
      <c r="P90" s="576"/>
      <c r="Q90" s="574"/>
      <c r="R90" s="344"/>
      <c r="S90" s="575" t="s">
        <v>176</v>
      </c>
      <c r="T90" s="575"/>
      <c r="U90" s="115">
        <v>0</v>
      </c>
      <c r="V90" s="185" t="s">
        <v>360</v>
      </c>
      <c r="W90" s="185" t="s">
        <v>316</v>
      </c>
      <c r="X90" s="100"/>
      <c r="Y90" s="38" t="s">
        <v>176</v>
      </c>
      <c r="Z90" s="38" t="s">
        <v>177</v>
      </c>
      <c r="AA90" s="38">
        <v>0</v>
      </c>
      <c r="AB90" s="38"/>
    </row>
    <row r="91" spans="2:28" s="39" customFormat="1" ht="14.6">
      <c r="B91" s="342" t="s">
        <v>175</v>
      </c>
      <c r="C91" s="585">
        <v>17</v>
      </c>
      <c r="D91" s="590" t="s">
        <v>317</v>
      </c>
      <c r="E91" s="633" t="s">
        <v>303</v>
      </c>
      <c r="F91" s="634">
        <v>0</v>
      </c>
      <c r="G91" s="573">
        <v>0</v>
      </c>
      <c r="H91" s="574">
        <v>1</v>
      </c>
      <c r="I91" s="338">
        <v>1</v>
      </c>
      <c r="J91" s="634">
        <v>0</v>
      </c>
      <c r="K91" s="573">
        <v>0</v>
      </c>
      <c r="L91" s="574">
        <v>1</v>
      </c>
      <c r="M91" s="338">
        <v>1</v>
      </c>
      <c r="N91" s="635">
        <v>0</v>
      </c>
      <c r="O91" s="573"/>
      <c r="P91" s="573"/>
      <c r="Q91" s="574"/>
      <c r="R91" s="344"/>
      <c r="S91" s="575" t="s">
        <v>176</v>
      </c>
      <c r="T91" s="575"/>
      <c r="U91" s="115">
        <v>0</v>
      </c>
      <c r="V91" s="185" t="s">
        <v>24</v>
      </c>
      <c r="W91" s="185" t="s">
        <v>24</v>
      </c>
      <c r="X91" s="100"/>
      <c r="Y91" s="38" t="s">
        <v>176</v>
      </c>
      <c r="Z91" s="38" t="s">
        <v>177</v>
      </c>
      <c r="AA91" s="38">
        <v>0</v>
      </c>
      <c r="AB91" s="38"/>
    </row>
    <row r="92" spans="2:28" s="39" customFormat="1" ht="14.6">
      <c r="B92" s="587" t="s">
        <v>175</v>
      </c>
      <c r="C92" s="586">
        <v>18</v>
      </c>
      <c r="D92" s="343" t="s">
        <v>361</v>
      </c>
      <c r="E92" s="443" t="s">
        <v>55</v>
      </c>
      <c r="F92" s="640">
        <v>0</v>
      </c>
      <c r="G92" s="578">
        <v>0</v>
      </c>
      <c r="H92" s="574">
        <v>1</v>
      </c>
      <c r="I92" s="579">
        <v>1</v>
      </c>
      <c r="J92" s="640">
        <v>1</v>
      </c>
      <c r="K92" s="578">
        <v>1</v>
      </c>
      <c r="L92" s="574">
        <v>1</v>
      </c>
      <c r="M92" s="579">
        <v>1</v>
      </c>
      <c r="N92" s="641">
        <v>0</v>
      </c>
      <c r="O92" s="578"/>
      <c r="P92" s="578"/>
      <c r="Q92" s="574"/>
      <c r="R92" s="591"/>
      <c r="S92" s="580" t="s">
        <v>176</v>
      </c>
      <c r="T92" s="580"/>
      <c r="U92" s="200">
        <v>0</v>
      </c>
      <c r="V92" s="218" t="s">
        <v>362</v>
      </c>
      <c r="W92" s="218" t="s">
        <v>24</v>
      </c>
      <c r="X92" s="198"/>
      <c r="Y92" s="93" t="s">
        <v>176</v>
      </c>
      <c r="Z92" s="93" t="s">
        <v>177</v>
      </c>
      <c r="AA92" s="93">
        <v>0</v>
      </c>
      <c r="AB92" s="93"/>
    </row>
    <row r="93" spans="2:28" s="39" customFormat="1" ht="14.6">
      <c r="B93" s="587" t="s">
        <v>175</v>
      </c>
      <c r="C93" s="586">
        <v>19</v>
      </c>
      <c r="D93" s="343" t="s">
        <v>363</v>
      </c>
      <c r="E93" s="443" t="s">
        <v>55</v>
      </c>
      <c r="F93" s="640">
        <v>0.05</v>
      </c>
      <c r="G93" s="578">
        <v>0.05</v>
      </c>
      <c r="H93" s="574">
        <v>1</v>
      </c>
      <c r="I93" s="579">
        <v>1</v>
      </c>
      <c r="J93" s="640">
        <v>0.35</v>
      </c>
      <c r="K93" s="578">
        <v>0.35</v>
      </c>
      <c r="L93" s="574">
        <v>1</v>
      </c>
      <c r="M93" s="579">
        <v>1</v>
      </c>
      <c r="N93" s="641">
        <v>0</v>
      </c>
      <c r="O93" s="578"/>
      <c r="P93" s="578"/>
      <c r="Q93" s="574"/>
      <c r="R93" s="591"/>
      <c r="S93" s="580" t="s">
        <v>176</v>
      </c>
      <c r="T93" s="580"/>
      <c r="U93" s="200">
        <v>0</v>
      </c>
      <c r="V93" s="218" t="s">
        <v>318</v>
      </c>
      <c r="W93" s="218" t="s">
        <v>319</v>
      </c>
      <c r="X93" s="198"/>
      <c r="Y93" s="93" t="s">
        <v>176</v>
      </c>
      <c r="Z93" s="93" t="s">
        <v>177</v>
      </c>
      <c r="AA93" s="93">
        <v>0</v>
      </c>
      <c r="AB93" s="93"/>
    </row>
    <row r="94" spans="2:28" s="39" customFormat="1" ht="14.6">
      <c r="B94" s="587" t="s">
        <v>175</v>
      </c>
      <c r="C94" s="585">
        <v>20</v>
      </c>
      <c r="D94" s="590" t="s">
        <v>317</v>
      </c>
      <c r="E94" s="443" t="s">
        <v>55</v>
      </c>
      <c r="F94" s="640">
        <v>0</v>
      </c>
      <c r="G94" s="578">
        <v>0</v>
      </c>
      <c r="H94" s="574">
        <v>1</v>
      </c>
      <c r="I94" s="338">
        <v>1</v>
      </c>
      <c r="J94" s="640">
        <v>0</v>
      </c>
      <c r="K94" s="578">
        <v>0</v>
      </c>
      <c r="L94" s="574">
        <v>1</v>
      </c>
      <c r="M94" s="338">
        <v>1</v>
      </c>
      <c r="N94" s="641">
        <v>0</v>
      </c>
      <c r="O94" s="578"/>
      <c r="P94" s="578"/>
      <c r="Q94" s="574"/>
      <c r="R94" s="344"/>
      <c r="S94" s="580" t="s">
        <v>176</v>
      </c>
      <c r="T94" s="580"/>
      <c r="U94" s="200">
        <v>0</v>
      </c>
      <c r="V94" s="218" t="s">
        <v>24</v>
      </c>
      <c r="W94" s="218" t="s">
        <v>24</v>
      </c>
      <c r="X94" s="198"/>
      <c r="Y94" s="93" t="s">
        <v>176</v>
      </c>
      <c r="Z94" s="93" t="s">
        <v>177</v>
      </c>
      <c r="AA94" s="93">
        <v>0</v>
      </c>
      <c r="AB94" s="93"/>
    </row>
    <row r="95" spans="2:28" s="39" customFormat="1" ht="14.6" collapsed="1">
      <c r="B95" s="587" t="s">
        <v>175</v>
      </c>
      <c r="C95" s="585">
        <v>21</v>
      </c>
      <c r="D95" s="590" t="s">
        <v>364</v>
      </c>
      <c r="E95" s="443" t="s">
        <v>55</v>
      </c>
      <c r="F95" s="640">
        <v>0</v>
      </c>
      <c r="G95" s="578">
        <v>0</v>
      </c>
      <c r="H95" s="574">
        <v>1</v>
      </c>
      <c r="I95" s="338">
        <v>1</v>
      </c>
      <c r="J95" s="640">
        <v>1</v>
      </c>
      <c r="K95" s="578">
        <v>1</v>
      </c>
      <c r="L95" s="574">
        <v>1</v>
      </c>
      <c r="M95" s="338">
        <v>1</v>
      </c>
      <c r="N95" s="641">
        <v>0</v>
      </c>
      <c r="O95" s="578"/>
      <c r="P95" s="578"/>
      <c r="Q95" s="574"/>
      <c r="R95" s="344"/>
      <c r="S95" s="580" t="s">
        <v>176</v>
      </c>
      <c r="T95" s="580"/>
      <c r="U95" s="200">
        <v>0</v>
      </c>
      <c r="V95" s="221" t="s">
        <v>365</v>
      </c>
      <c r="W95" s="221" t="s">
        <v>24</v>
      </c>
      <c r="X95" s="198"/>
      <c r="Y95" s="93" t="s">
        <v>176</v>
      </c>
      <c r="Z95" s="93" t="s">
        <v>177</v>
      </c>
      <c r="AA95" s="93">
        <v>0</v>
      </c>
      <c r="AB95" s="93"/>
    </row>
    <row r="96" spans="2:28" s="39" customFormat="1" ht="14.6">
      <c r="B96" s="588" t="s">
        <v>175</v>
      </c>
      <c r="C96" s="584">
        <v>22</v>
      </c>
      <c r="D96" s="589" t="s">
        <v>317</v>
      </c>
      <c r="E96" s="442" t="s">
        <v>24</v>
      </c>
      <c r="F96" s="642"/>
      <c r="G96" s="583"/>
      <c r="H96" s="40"/>
      <c r="I96" s="41"/>
      <c r="J96" s="642">
        <v>0</v>
      </c>
      <c r="K96" s="583">
        <v>0</v>
      </c>
      <c r="L96" s="40">
        <v>1</v>
      </c>
      <c r="M96" s="41">
        <v>1</v>
      </c>
      <c r="N96" s="643"/>
      <c r="O96" s="583"/>
      <c r="P96" s="583"/>
      <c r="Q96" s="40"/>
      <c r="R96" s="441"/>
      <c r="S96" s="93" t="s">
        <v>176</v>
      </c>
      <c r="T96" s="93"/>
      <c r="U96" s="200">
        <v>0</v>
      </c>
      <c r="V96" s="221" t="s">
        <v>24</v>
      </c>
      <c r="W96" s="221" t="s">
        <v>24</v>
      </c>
      <c r="X96" s="198"/>
      <c r="Y96" s="93" t="s">
        <v>176</v>
      </c>
      <c r="Z96" s="93" t="s">
        <v>177</v>
      </c>
      <c r="AA96" s="93">
        <v>0</v>
      </c>
      <c r="AB96" s="93"/>
    </row>
    <row r="97" spans="2:28" s="39" customFormat="1" ht="14.6" collapsed="1">
      <c r="B97" s="577"/>
      <c r="C97" s="572"/>
      <c r="D97" s="572"/>
      <c r="E97" s="541"/>
      <c r="F97" s="578"/>
      <c r="G97" s="578"/>
      <c r="H97" s="574"/>
      <c r="I97" s="338"/>
      <c r="J97" s="578"/>
      <c r="K97" s="578"/>
      <c r="L97" s="574"/>
      <c r="M97" s="338"/>
      <c r="N97" s="578"/>
      <c r="O97" s="578"/>
      <c r="P97" s="578"/>
      <c r="Q97" s="574"/>
      <c r="R97" s="338"/>
      <c r="S97" s="580"/>
      <c r="T97" s="580"/>
      <c r="U97" s="93"/>
      <c r="V97" s="582"/>
      <c r="W97" s="582"/>
      <c r="X97" s="198"/>
      <c r="Y97" s="93"/>
      <c r="Z97" s="93"/>
      <c r="AA97" s="93"/>
      <c r="AB97" s="93"/>
    </row>
    <row r="98" spans="2:28" ht="15.9">
      <c r="D98" s="797" t="s">
        <v>335</v>
      </c>
      <c r="E98" s="790"/>
      <c r="F98" s="790"/>
      <c r="G98" s="790"/>
      <c r="H98" s="790"/>
      <c r="I98" s="790"/>
      <c r="J98" s="790"/>
      <c r="K98" s="790"/>
      <c r="L98" s="790"/>
      <c r="M98" s="790"/>
      <c r="N98" s="790"/>
      <c r="O98" s="790"/>
      <c r="P98" s="790"/>
      <c r="Q98" s="790"/>
      <c r="R98" s="790"/>
      <c r="S98" s="790"/>
      <c r="T98" s="790"/>
      <c r="U98" s="790"/>
      <c r="V98" s="790"/>
      <c r="W98" s="790"/>
    </row>
    <row r="99" spans="2:28" ht="15.9">
      <c r="B99" s="538">
        <v>1</v>
      </c>
      <c r="D99" s="644" t="s">
        <v>24</v>
      </c>
      <c r="E99" s="645"/>
      <c r="F99" s="646"/>
      <c r="G99" s="646"/>
      <c r="H99" s="647"/>
      <c r="I99" s="647"/>
      <c r="J99" s="646"/>
      <c r="K99" s="646"/>
      <c r="L99" s="647"/>
      <c r="M99" s="647"/>
      <c r="N99" s="648"/>
      <c r="O99" s="649"/>
      <c r="P99" s="649"/>
      <c r="Q99" s="647"/>
      <c r="R99" s="646"/>
      <c r="S99" s="645"/>
      <c r="T99" s="645"/>
      <c r="U99" s="650"/>
      <c r="V99" s="651"/>
      <c r="W99" s="652"/>
    </row>
    <row r="100" spans="2:28" ht="15.9">
      <c r="B100" s="538">
        <v>2</v>
      </c>
      <c r="D100" s="504" t="s">
        <v>24</v>
      </c>
      <c r="E100" s="505"/>
      <c r="F100" s="506"/>
      <c r="G100" s="506"/>
      <c r="H100" s="507"/>
      <c r="I100" s="507"/>
      <c r="J100" s="506"/>
      <c r="K100" s="506"/>
      <c r="L100" s="507"/>
      <c r="M100" s="507"/>
      <c r="N100" s="508"/>
      <c r="O100" s="509"/>
      <c r="P100" s="509"/>
      <c r="Q100" s="507"/>
      <c r="R100" s="506"/>
      <c r="S100" s="505"/>
      <c r="T100" s="505"/>
      <c r="U100" s="539"/>
      <c r="V100" s="510"/>
      <c r="W100" s="518"/>
    </row>
    <row r="101" spans="2:28" ht="15.9">
      <c r="B101" s="538">
        <v>3</v>
      </c>
      <c r="D101" s="504" t="s">
        <v>24</v>
      </c>
      <c r="E101" s="505"/>
      <c r="F101" s="506"/>
      <c r="G101" s="506"/>
      <c r="H101" s="507"/>
      <c r="I101" s="507"/>
      <c r="J101" s="506"/>
      <c r="K101" s="506"/>
      <c r="L101" s="507"/>
      <c r="M101" s="507"/>
      <c r="N101" s="508"/>
      <c r="O101" s="509"/>
      <c r="P101" s="509"/>
      <c r="Q101" s="507"/>
      <c r="R101" s="506"/>
      <c r="S101" s="505"/>
      <c r="T101" s="505"/>
      <c r="U101" s="539"/>
      <c r="V101" s="510"/>
      <c r="W101" s="518"/>
    </row>
    <row r="102" spans="2:28" ht="15.9">
      <c r="B102" s="538">
        <v>4</v>
      </c>
      <c r="D102" s="504" t="s">
        <v>24</v>
      </c>
      <c r="E102" s="505"/>
      <c r="F102" s="506"/>
      <c r="G102" s="506"/>
      <c r="H102" s="507"/>
      <c r="I102" s="507"/>
      <c r="J102" s="506"/>
      <c r="K102" s="506"/>
      <c r="L102" s="507"/>
      <c r="M102" s="507"/>
      <c r="N102" s="508"/>
      <c r="O102" s="509"/>
      <c r="P102" s="509"/>
      <c r="Q102" s="507"/>
      <c r="R102" s="506"/>
      <c r="S102" s="505"/>
      <c r="T102" s="505"/>
      <c r="U102" s="539"/>
      <c r="V102" s="510"/>
      <c r="W102" s="518"/>
    </row>
    <row r="103" spans="2:28" ht="15.9">
      <c r="B103" s="538">
        <v>5</v>
      </c>
      <c r="D103" s="504" t="s">
        <v>24</v>
      </c>
      <c r="E103" s="505"/>
      <c r="F103" s="506"/>
      <c r="G103" s="506"/>
      <c r="H103" s="507"/>
      <c r="I103" s="507"/>
      <c r="J103" s="506"/>
      <c r="K103" s="506"/>
      <c r="L103" s="507"/>
      <c r="M103" s="507"/>
      <c r="N103" s="508"/>
      <c r="O103" s="509"/>
      <c r="P103" s="509"/>
      <c r="Q103" s="507"/>
      <c r="R103" s="506"/>
      <c r="S103" s="505"/>
      <c r="T103" s="505"/>
      <c r="U103" s="539"/>
      <c r="V103" s="510"/>
      <c r="W103" s="518"/>
    </row>
    <row r="104" spans="2:28" ht="15.9">
      <c r="B104" s="538">
        <v>6</v>
      </c>
      <c r="D104" s="504" t="s">
        <v>24</v>
      </c>
      <c r="E104" s="505"/>
      <c r="F104" s="506"/>
      <c r="G104" s="506"/>
      <c r="H104" s="507"/>
      <c r="I104" s="507"/>
      <c r="J104" s="506"/>
      <c r="K104" s="506"/>
      <c r="L104" s="507"/>
      <c r="M104" s="507"/>
      <c r="N104" s="508"/>
      <c r="O104" s="509"/>
      <c r="P104" s="509"/>
      <c r="Q104" s="507"/>
      <c r="R104" s="506"/>
      <c r="S104" s="505"/>
      <c r="T104" s="505"/>
      <c r="U104" s="539"/>
      <c r="V104" s="510"/>
      <c r="W104" s="518"/>
    </row>
    <row r="105" spans="2:28" ht="15.9">
      <c r="B105" s="538">
        <v>7</v>
      </c>
      <c r="D105" s="504" t="s">
        <v>24</v>
      </c>
      <c r="E105" s="505"/>
      <c r="F105" s="506"/>
      <c r="G105" s="506"/>
      <c r="H105" s="507"/>
      <c r="I105" s="507"/>
      <c r="J105" s="506"/>
      <c r="K105" s="506"/>
      <c r="L105" s="507"/>
      <c r="M105" s="507"/>
      <c r="N105" s="508"/>
      <c r="O105" s="509"/>
      <c r="P105" s="509"/>
      <c r="Q105" s="507"/>
      <c r="R105" s="506"/>
      <c r="S105" s="505"/>
      <c r="T105" s="505"/>
      <c r="U105" s="539"/>
      <c r="V105" s="510"/>
      <c r="W105" s="518"/>
    </row>
    <row r="106" spans="2:28" ht="15.9">
      <c r="B106" s="538">
        <v>8</v>
      </c>
      <c r="D106" s="504" t="s">
        <v>24</v>
      </c>
      <c r="E106" s="505"/>
      <c r="F106" s="506"/>
      <c r="G106" s="506"/>
      <c r="H106" s="507"/>
      <c r="I106" s="507"/>
      <c r="J106" s="506"/>
      <c r="K106" s="506"/>
      <c r="L106" s="507"/>
      <c r="M106" s="507"/>
      <c r="N106" s="508"/>
      <c r="O106" s="509"/>
      <c r="P106" s="509"/>
      <c r="Q106" s="507"/>
      <c r="R106" s="506"/>
      <c r="S106" s="505"/>
      <c r="T106" s="505"/>
      <c r="U106" s="539"/>
      <c r="V106" s="510"/>
      <c r="W106" s="518"/>
    </row>
    <row r="107" spans="2:28" ht="15.9">
      <c r="B107" s="538">
        <v>9</v>
      </c>
      <c r="D107" s="504" t="s">
        <v>24</v>
      </c>
      <c r="E107" s="505"/>
      <c r="F107" s="506"/>
      <c r="G107" s="506"/>
      <c r="H107" s="507"/>
      <c r="I107" s="507"/>
      <c r="J107" s="506"/>
      <c r="K107" s="506"/>
      <c r="L107" s="507"/>
      <c r="M107" s="507"/>
      <c r="N107" s="508"/>
      <c r="O107" s="509"/>
      <c r="P107" s="509"/>
      <c r="Q107" s="507"/>
      <c r="R107" s="506"/>
      <c r="S107" s="505"/>
      <c r="T107" s="505"/>
      <c r="U107" s="539"/>
      <c r="V107" s="510"/>
      <c r="W107" s="518"/>
    </row>
    <row r="108" spans="2:28" ht="15.9">
      <c r="B108" s="538">
        <v>10</v>
      </c>
      <c r="D108" s="511" t="s">
        <v>24</v>
      </c>
      <c r="E108" s="512"/>
      <c r="F108" s="513"/>
      <c r="G108" s="513"/>
      <c r="H108" s="514"/>
      <c r="I108" s="514"/>
      <c r="J108" s="513"/>
      <c r="K108" s="513"/>
      <c r="L108" s="514"/>
      <c r="M108" s="514"/>
      <c r="N108" s="515"/>
      <c r="O108" s="516"/>
      <c r="P108" s="516"/>
      <c r="Q108" s="514"/>
      <c r="R108" s="513"/>
      <c r="S108" s="512"/>
      <c r="T108" s="512"/>
      <c r="U108" s="540"/>
      <c r="V108" s="517"/>
      <c r="W108" s="519"/>
    </row>
  </sheetData>
  <sheetProtection algorithmName="SHA-512" hashValue="Cb8Snu9ZKQM0uOrcmG8MbusHFrmtBugtEF+5bMT5m3vHVazpLqQYiLiiAyTS0788MUmJ6feSnUvJBB/+Mm/k+A==" saltValue="GlPOMmQFbFDsIICfnO/4ow==" spinCount="100000" sheet="1" objects="1" scenarios="1" sort="0" autoFilter="0"/>
  <protectedRanges>
    <protectedRange sqref="B2" name="PERIODO"/>
  </protectedRanges>
  <mergeCells count="11">
    <mergeCell ref="M2:N2"/>
    <mergeCell ref="F4:I4"/>
    <mergeCell ref="J4:M4"/>
    <mergeCell ref="H5:I5"/>
    <mergeCell ref="L5:M5"/>
    <mergeCell ref="D98:W98"/>
    <mergeCell ref="Q6:R6"/>
    <mergeCell ref="L6:M6"/>
    <mergeCell ref="H6:I6"/>
    <mergeCell ref="O4:R4"/>
    <mergeCell ref="Q5:R5"/>
  </mergeCells>
  <conditionalFormatting sqref="I8:I96">
    <cfRule type="iconSet" priority="3">
      <iconSet showValue="0">
        <cfvo type="percent" val="0"/>
        <cfvo type="num" val="0.95"/>
        <cfvo type="num" val="1"/>
      </iconSet>
    </cfRule>
  </conditionalFormatting>
  <conditionalFormatting sqref="M8:M96">
    <cfRule type="iconSet" priority="2">
      <iconSet showValue="0">
        <cfvo type="percent" val="0"/>
        <cfvo type="num" val="0.95"/>
        <cfvo type="num" val="1"/>
      </iconSet>
    </cfRule>
  </conditionalFormatting>
  <conditionalFormatting sqref="R8:R96">
    <cfRule type="iconSet" priority="1">
      <iconSet showValue="0">
        <cfvo type="percent" val="0"/>
        <cfvo type="num" val="0.95"/>
        <cfvo type="num" val="1"/>
      </iconSet>
    </cfRule>
  </conditionalFormatting>
  <printOptions horizontalCentered="1"/>
  <pageMargins left="0" right="0" top="0.19685039370078741" bottom="0.19685039370078741" header="0.15748031496062992" footer="0.15748031496062992"/>
  <pageSetup paperSize="8" scale="92" fitToHeight="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outlinePr summaryBelow="0"/>
    <pageSetUpPr fitToPage="1"/>
  </sheetPr>
  <dimension ref="B1:AL151"/>
  <sheetViews>
    <sheetView showGridLines="0" zoomScale="85" zoomScaleNormal="85" workbookViewId="0">
      <pane xSplit="9" ySplit="7" topLeftCell="J8" activePane="bottomRight" state="frozen"/>
      <selection activeCell="A3" sqref="A3"/>
      <selection pane="topRight" activeCell="I3" sqref="I3"/>
      <selection pane="bottomLeft" activeCell="A9" sqref="A9"/>
      <selection pane="bottomRight" activeCell="F9" sqref="F9"/>
    </sheetView>
  </sheetViews>
  <sheetFormatPr baseColWidth="10" defaultColWidth="12" defaultRowHeight="12.9" outlineLevelRow="1" outlineLevelCol="1"/>
  <cols>
    <col min="1" max="1" width="2.53515625" style="23" customWidth="1"/>
    <col min="2" max="2" width="14.15234375" style="33" hidden="1" customWidth="1"/>
    <col min="3" max="3" width="8.3828125" style="33" hidden="1" customWidth="1"/>
    <col min="4" max="4" width="47.69140625" style="22" customWidth="1"/>
    <col min="5" max="5" width="8.15234375" style="26" bestFit="1" customWidth="1"/>
    <col min="6" max="6" width="14.3046875" style="19" customWidth="1"/>
    <col min="7" max="7" width="19.3828125" style="19" bestFit="1" customWidth="1"/>
    <col min="8" max="8" width="8.84375" style="28" customWidth="1"/>
    <col min="9" max="9" width="3.69140625" style="21" customWidth="1"/>
    <col min="10" max="10" width="19.3828125" style="19" bestFit="1" customWidth="1"/>
    <col min="11" max="11" width="8.84375" style="28" customWidth="1"/>
    <col min="12" max="12" width="3.69140625" style="20" customWidth="1"/>
    <col min="13" max="13" width="19.3828125" style="21" bestFit="1" customWidth="1"/>
    <col min="14" max="14" width="15.53515625" style="25" customWidth="1"/>
    <col min="15" max="15" width="9.3828125" style="32" customWidth="1"/>
    <col min="16" max="16" width="3.69140625" style="22" customWidth="1"/>
    <col min="17" max="17" width="19.3828125" style="23" bestFit="1" customWidth="1"/>
    <col min="18" max="18" width="8.53515625" style="28" customWidth="1"/>
    <col min="19" max="19" width="3.69140625" style="19" customWidth="1"/>
    <col min="20" max="20" width="21" style="23" bestFit="1" customWidth="1"/>
    <col min="21" max="21" width="17.3828125" style="26" bestFit="1" customWidth="1" collapsed="1"/>
    <col min="22" max="23" width="10.15234375" style="23" hidden="1" customWidth="1" outlineLevel="1"/>
    <col min="24" max="24" width="7.3046875" style="23" hidden="1" customWidth="1" outlineLevel="1"/>
    <col min="25" max="25" width="3.69140625" style="23" hidden="1" customWidth="1" outlineLevel="1"/>
    <col min="26" max="26" width="10.15234375" style="23" hidden="1" customWidth="1" outlineLevel="1"/>
    <col min="27" max="27" width="7.3046875" style="23" hidden="1" customWidth="1" outlineLevel="1"/>
    <col min="28" max="28" width="3.69140625" style="23" hidden="1" customWidth="1" outlineLevel="1"/>
    <col min="29" max="29" width="6.69140625" style="26" hidden="1" customWidth="1" collapsed="1"/>
    <col min="30" max="30" width="5.84375" style="34" hidden="1" customWidth="1"/>
    <col min="31" max="31" width="2.53515625" style="136" customWidth="1"/>
    <col min="32" max="32" width="35.53515625" style="30" customWidth="1"/>
    <col min="33" max="33" width="35.53515625" style="29" customWidth="1"/>
    <col min="34" max="34" width="51.15234375" style="132" hidden="1" customWidth="1"/>
    <col min="35" max="35" width="5.53515625" style="25" hidden="1" customWidth="1"/>
    <col min="36" max="36" width="8.53515625" style="25" hidden="1" customWidth="1"/>
    <col min="37" max="38" width="12" style="23" hidden="1" customWidth="1"/>
    <col min="39" max="16384" width="12" style="23"/>
  </cols>
  <sheetData>
    <row r="1" spans="2:38" s="47" customFormat="1" ht="14.6">
      <c r="B1" s="143"/>
      <c r="C1" s="143"/>
      <c r="D1" s="154" t="s">
        <v>3</v>
      </c>
      <c r="E1" s="103"/>
      <c r="F1" s="144"/>
      <c r="G1" s="145"/>
      <c r="H1" s="146"/>
      <c r="I1" s="147"/>
      <c r="J1" s="54"/>
      <c r="M1" s="144"/>
      <c r="N1" s="153"/>
      <c r="O1" s="66"/>
      <c r="P1" s="45"/>
      <c r="R1" s="46"/>
      <c r="T1" s="98"/>
      <c r="V1" s="48"/>
      <c r="W1" s="36"/>
      <c r="X1" s="36"/>
    </row>
    <row r="2" spans="2:38" s="47" customFormat="1" ht="18.45">
      <c r="B2" s="148"/>
      <c r="C2" s="148"/>
      <c r="D2" s="155" t="s">
        <v>178</v>
      </c>
      <c r="E2" s="149"/>
      <c r="F2" s="149"/>
      <c r="H2" s="150"/>
      <c r="I2" s="151"/>
      <c r="J2" s="152"/>
      <c r="M2" s="791"/>
      <c r="N2" s="791"/>
      <c r="O2" s="66"/>
      <c r="P2" s="45"/>
      <c r="R2" s="46"/>
      <c r="T2" s="157"/>
      <c r="U2" s="157" t="s">
        <v>366</v>
      </c>
      <c r="V2" s="48" t="s">
        <v>103</v>
      </c>
      <c r="W2" s="36"/>
      <c r="X2" s="36"/>
    </row>
    <row r="3" spans="2:38" s="47" customFormat="1" ht="3.75" customHeight="1" thickBot="1">
      <c r="B3" s="69"/>
      <c r="C3" s="69"/>
      <c r="D3" s="71"/>
      <c r="E3" s="72"/>
      <c r="F3" s="73"/>
      <c r="G3" s="73"/>
      <c r="H3" s="74"/>
      <c r="I3" s="75"/>
      <c r="J3" s="73"/>
      <c r="K3" s="76"/>
      <c r="L3" s="74"/>
      <c r="M3" s="74"/>
      <c r="N3" s="74"/>
      <c r="O3" s="74"/>
      <c r="P3" s="74"/>
      <c r="Q3" s="74"/>
      <c r="R3" s="74"/>
      <c r="S3" s="74"/>
      <c r="T3" s="74"/>
      <c r="U3" s="74"/>
      <c r="Z3" s="74"/>
      <c r="AA3" s="74"/>
      <c r="AB3" s="74"/>
      <c r="AC3" s="74"/>
      <c r="AD3" s="74"/>
      <c r="AE3" s="36"/>
      <c r="AF3" s="36"/>
      <c r="AG3" s="36"/>
      <c r="AH3" s="129"/>
    </row>
    <row r="4" spans="2:38" s="68" customFormat="1" ht="15" thickTop="1">
      <c r="B4" s="82"/>
      <c r="C4" s="82"/>
      <c r="D4" s="83" t="s">
        <v>85</v>
      </c>
      <c r="E4" s="96"/>
      <c r="F4" s="796" t="s">
        <v>367</v>
      </c>
      <c r="G4" s="796"/>
      <c r="H4" s="796"/>
      <c r="I4" s="796"/>
      <c r="K4" s="90"/>
      <c r="L4" s="90"/>
      <c r="M4" s="801" t="s">
        <v>73</v>
      </c>
      <c r="N4" s="801"/>
      <c r="O4" s="801"/>
      <c r="P4" s="801"/>
      <c r="T4" s="802">
        <v>2018</v>
      </c>
      <c r="U4" s="802"/>
      <c r="V4" s="801" t="s">
        <v>43</v>
      </c>
      <c r="W4" s="801"/>
      <c r="X4" s="801"/>
      <c r="Y4" s="801"/>
      <c r="AC4" s="37"/>
      <c r="AE4" s="133"/>
      <c r="AF4" s="85"/>
      <c r="AG4" s="36"/>
      <c r="AH4" s="130"/>
    </row>
    <row r="5" spans="2:38" s="68" customFormat="1" ht="15" thickBot="1">
      <c r="B5" s="86"/>
      <c r="C5" s="86"/>
      <c r="D5" s="88"/>
      <c r="E5" s="97"/>
      <c r="F5" s="81">
        <v>43405</v>
      </c>
      <c r="G5" s="77">
        <v>43101</v>
      </c>
      <c r="H5" s="794">
        <v>43434</v>
      </c>
      <c r="I5" s="794"/>
      <c r="J5" s="77"/>
      <c r="K5" s="78"/>
      <c r="L5" s="81"/>
      <c r="M5" s="81">
        <v>43101</v>
      </c>
      <c r="N5" s="92">
        <v>43101</v>
      </c>
      <c r="O5" s="794">
        <v>43434</v>
      </c>
      <c r="P5" s="794"/>
      <c r="Q5" s="97"/>
      <c r="R5" s="97"/>
      <c r="S5" s="97"/>
      <c r="T5" s="803"/>
      <c r="U5" s="803"/>
      <c r="V5" s="81">
        <v>43374</v>
      </c>
      <c r="W5" s="92">
        <v>43101</v>
      </c>
      <c r="X5" s="794">
        <v>43434</v>
      </c>
      <c r="Y5" s="794"/>
      <c r="Z5" s="97"/>
      <c r="AA5" s="97"/>
      <c r="AB5" s="97"/>
      <c r="AC5" s="97"/>
      <c r="AD5" s="97"/>
      <c r="AE5" s="133"/>
      <c r="AF5" s="85"/>
      <c r="AG5" s="37"/>
      <c r="AH5" s="130"/>
    </row>
    <row r="6" spans="2:38" s="52" customFormat="1" ht="15" thickTop="1">
      <c r="B6" s="59" t="s">
        <v>67</v>
      </c>
      <c r="C6" s="59"/>
      <c r="D6" s="51" t="s">
        <v>6</v>
      </c>
      <c r="E6" s="52" t="s">
        <v>0</v>
      </c>
      <c r="F6" s="52" t="s">
        <v>7</v>
      </c>
      <c r="G6" s="52" t="s">
        <v>29</v>
      </c>
      <c r="H6" s="795" t="s">
        <v>68</v>
      </c>
      <c r="I6" s="795"/>
      <c r="J6" s="52" t="s">
        <v>8</v>
      </c>
      <c r="K6" s="795" t="s">
        <v>68</v>
      </c>
      <c r="L6" s="795"/>
      <c r="M6" s="52" t="s">
        <v>7</v>
      </c>
      <c r="N6" s="52" t="s">
        <v>29</v>
      </c>
      <c r="O6" s="795" t="s">
        <v>68</v>
      </c>
      <c r="P6" s="795"/>
      <c r="Q6" s="52" t="s">
        <v>8</v>
      </c>
      <c r="R6" s="795" t="s">
        <v>68</v>
      </c>
      <c r="S6" s="795"/>
      <c r="T6" s="52" t="s">
        <v>29</v>
      </c>
      <c r="U6" s="44" t="s">
        <v>8</v>
      </c>
      <c r="V6" s="52" t="s">
        <v>7</v>
      </c>
      <c r="W6" s="52" t="s">
        <v>29</v>
      </c>
      <c r="X6" s="795" t="s">
        <v>68</v>
      </c>
      <c r="Y6" s="795"/>
      <c r="Z6" s="52" t="s">
        <v>8</v>
      </c>
      <c r="AA6" s="795" t="s">
        <v>68</v>
      </c>
      <c r="AB6" s="795"/>
      <c r="AE6" s="134"/>
      <c r="AF6" s="124" t="s">
        <v>18</v>
      </c>
      <c r="AG6" s="125" t="s">
        <v>9</v>
      </c>
      <c r="AH6" s="123"/>
    </row>
    <row r="7" spans="2:38" s="52" customFormat="1" ht="20.5" hidden="1" customHeight="1">
      <c r="B7" s="57" t="s">
        <v>6</v>
      </c>
      <c r="C7" s="57" t="s">
        <v>162</v>
      </c>
      <c r="D7" s="51" t="s">
        <v>5</v>
      </c>
      <c r="E7" s="52" t="s">
        <v>10</v>
      </c>
      <c r="F7" s="55" t="s">
        <v>7</v>
      </c>
      <c r="G7" s="44" t="s">
        <v>29</v>
      </c>
      <c r="H7" s="54" t="s">
        <v>12</v>
      </c>
      <c r="I7" s="44" t="s">
        <v>13</v>
      </c>
      <c r="J7" s="126" t="s">
        <v>8</v>
      </c>
      <c r="K7" s="54" t="s">
        <v>36</v>
      </c>
      <c r="L7" s="127" t="s">
        <v>37</v>
      </c>
      <c r="M7" s="54" t="s">
        <v>14</v>
      </c>
      <c r="N7" s="51" t="s">
        <v>30</v>
      </c>
      <c r="O7" s="128" t="s">
        <v>16</v>
      </c>
      <c r="P7" s="58" t="s">
        <v>17</v>
      </c>
      <c r="Q7" s="44" t="s">
        <v>15</v>
      </c>
      <c r="R7" s="54" t="s">
        <v>38</v>
      </c>
      <c r="S7" s="58" t="s">
        <v>39</v>
      </c>
      <c r="T7" s="58" t="s">
        <v>31</v>
      </c>
      <c r="U7" s="58" t="s">
        <v>40</v>
      </c>
      <c r="V7" s="58" t="s">
        <v>32</v>
      </c>
      <c r="W7" s="58" t="s">
        <v>33</v>
      </c>
      <c r="X7" s="58" t="s">
        <v>34</v>
      </c>
      <c r="Y7" s="58" t="s">
        <v>35</v>
      </c>
      <c r="Z7" s="58" t="s">
        <v>74</v>
      </c>
      <c r="AA7" s="58" t="s">
        <v>75</v>
      </c>
      <c r="AB7" s="58" t="s">
        <v>76</v>
      </c>
      <c r="AC7" s="58" t="s">
        <v>19</v>
      </c>
      <c r="AD7" s="122" t="s">
        <v>20</v>
      </c>
      <c r="AE7" s="135" t="s">
        <v>21</v>
      </c>
      <c r="AF7" s="57" t="s">
        <v>18</v>
      </c>
      <c r="AG7" s="57" t="s">
        <v>9</v>
      </c>
      <c r="AH7" s="59" t="s">
        <v>22</v>
      </c>
      <c r="AI7" s="58" t="s">
        <v>23</v>
      </c>
      <c r="AJ7" s="58" t="s">
        <v>27</v>
      </c>
      <c r="AK7" s="58" t="s">
        <v>82</v>
      </c>
      <c r="AL7" s="58" t="s">
        <v>86</v>
      </c>
    </row>
    <row r="8" spans="2:38" s="39" customFormat="1" ht="14.6">
      <c r="B8" s="173" t="s">
        <v>45</v>
      </c>
      <c r="C8" s="426"/>
      <c r="D8" s="201" t="s">
        <v>104</v>
      </c>
      <c r="E8" s="202" t="s">
        <v>24</v>
      </c>
      <c r="F8" s="254"/>
      <c r="G8" s="254"/>
      <c r="H8" s="255"/>
      <c r="I8" s="256"/>
      <c r="J8" s="257"/>
      <c r="K8" s="255"/>
      <c r="L8" s="258"/>
      <c r="M8" s="259"/>
      <c r="N8" s="260"/>
      <c r="O8" s="255"/>
      <c r="P8" s="167"/>
      <c r="Q8" s="256"/>
      <c r="R8" s="255"/>
      <c r="S8" s="167"/>
      <c r="T8" s="254"/>
      <c r="U8" s="261"/>
      <c r="V8" s="254"/>
      <c r="W8" s="254"/>
      <c r="X8" s="255"/>
      <c r="Y8" s="262"/>
      <c r="Z8" s="254"/>
      <c r="AA8" s="255"/>
      <c r="AB8" s="215"/>
      <c r="AC8" s="254" t="s">
        <v>25</v>
      </c>
      <c r="AD8" s="263"/>
      <c r="AE8" s="160">
        <v>0</v>
      </c>
      <c r="AF8" s="94"/>
      <c r="AG8" s="94"/>
      <c r="AH8" s="131"/>
      <c r="AI8" s="95" t="s">
        <v>24</v>
      </c>
      <c r="AJ8" s="95" t="s">
        <v>24</v>
      </c>
      <c r="AK8" s="95">
        <v>0</v>
      </c>
      <c r="AL8" s="95"/>
    </row>
    <row r="9" spans="2:38" ht="29.15">
      <c r="B9" s="190" t="s">
        <v>179</v>
      </c>
      <c r="C9" s="427"/>
      <c r="D9" s="219" t="s">
        <v>180</v>
      </c>
      <c r="E9" s="220" t="s">
        <v>64</v>
      </c>
      <c r="F9" s="271">
        <v>0</v>
      </c>
      <c r="G9" s="264">
        <v>0</v>
      </c>
      <c r="H9" s="265">
        <v>1</v>
      </c>
      <c r="I9" s="266">
        <v>1</v>
      </c>
      <c r="J9" s="267">
        <v>0</v>
      </c>
      <c r="K9" s="265">
        <v>1</v>
      </c>
      <c r="L9" s="268">
        <v>1</v>
      </c>
      <c r="M9" s="272">
        <v>0</v>
      </c>
      <c r="N9" s="269">
        <v>0</v>
      </c>
      <c r="O9" s="265">
        <v>1</v>
      </c>
      <c r="P9" s="181">
        <v>1</v>
      </c>
      <c r="Q9" s="266">
        <v>0</v>
      </c>
      <c r="R9" s="265">
        <v>1</v>
      </c>
      <c r="S9" s="181">
        <v>1</v>
      </c>
      <c r="T9" s="271">
        <v>0</v>
      </c>
      <c r="U9" s="658">
        <v>0</v>
      </c>
      <c r="V9" s="264">
        <v>0</v>
      </c>
      <c r="W9" s="264">
        <v>0</v>
      </c>
      <c r="X9" s="265">
        <v>1</v>
      </c>
      <c r="Y9" s="270">
        <v>1</v>
      </c>
      <c r="Z9" s="264">
        <v>0</v>
      </c>
      <c r="AA9" s="265">
        <v>1</v>
      </c>
      <c r="AB9" s="208">
        <v>1</v>
      </c>
      <c r="AC9" s="264" t="s">
        <v>26</v>
      </c>
      <c r="AD9" s="253"/>
      <c r="AE9" s="160">
        <v>0</v>
      </c>
      <c r="AF9" s="185" t="s">
        <v>24</v>
      </c>
      <c r="AG9" s="185" t="s">
        <v>24</v>
      </c>
      <c r="AH9" s="131"/>
      <c r="AI9" s="95" t="s">
        <v>24</v>
      </c>
      <c r="AJ9" s="95" t="s">
        <v>24</v>
      </c>
      <c r="AK9" s="95">
        <v>0</v>
      </c>
      <c r="AL9" s="95"/>
    </row>
    <row r="10" spans="2:38" ht="14.6">
      <c r="B10" s="180" t="s">
        <v>181</v>
      </c>
      <c r="C10" s="428"/>
      <c r="D10" s="216" t="s">
        <v>182</v>
      </c>
      <c r="E10" s="217" t="s">
        <v>64</v>
      </c>
      <c r="F10" s="283">
        <v>0</v>
      </c>
      <c r="G10" s="284">
        <v>0</v>
      </c>
      <c r="H10" s="274">
        <v>1</v>
      </c>
      <c r="I10" s="275">
        <v>1</v>
      </c>
      <c r="J10" s="287">
        <v>0</v>
      </c>
      <c r="K10" s="274">
        <v>1</v>
      </c>
      <c r="L10" s="277">
        <v>1</v>
      </c>
      <c r="M10" s="285">
        <v>0</v>
      </c>
      <c r="N10" s="286">
        <v>0</v>
      </c>
      <c r="O10" s="274">
        <v>1</v>
      </c>
      <c r="P10" s="176">
        <v>1</v>
      </c>
      <c r="Q10" s="288">
        <v>0</v>
      </c>
      <c r="R10" s="274">
        <v>1</v>
      </c>
      <c r="S10" s="176">
        <v>1</v>
      </c>
      <c r="T10" s="283">
        <v>0</v>
      </c>
      <c r="U10" s="659">
        <v>0</v>
      </c>
      <c r="V10" s="284">
        <v>0</v>
      </c>
      <c r="W10" s="284">
        <v>0</v>
      </c>
      <c r="X10" s="274">
        <v>1</v>
      </c>
      <c r="Y10" s="279">
        <v>1</v>
      </c>
      <c r="Z10" s="284">
        <v>0</v>
      </c>
      <c r="AA10" s="274">
        <v>1</v>
      </c>
      <c r="AB10" s="211">
        <v>1</v>
      </c>
      <c r="AC10" s="273" t="s">
        <v>56</v>
      </c>
      <c r="AD10" s="280"/>
      <c r="AE10" s="160">
        <v>2</v>
      </c>
      <c r="AF10" s="185" t="s">
        <v>24</v>
      </c>
      <c r="AG10" s="185" t="s">
        <v>24</v>
      </c>
      <c r="AH10" s="131"/>
      <c r="AI10" s="95" t="s">
        <v>24</v>
      </c>
      <c r="AJ10" s="95" t="s">
        <v>24</v>
      </c>
      <c r="AK10" s="95">
        <v>0</v>
      </c>
      <c r="AL10" s="95"/>
    </row>
    <row r="11" spans="2:38" ht="14.6">
      <c r="B11" s="190" t="s">
        <v>183</v>
      </c>
      <c r="C11" s="427"/>
      <c r="D11" s="219" t="s">
        <v>184</v>
      </c>
      <c r="E11" s="220" t="s">
        <v>64</v>
      </c>
      <c r="F11" s="271">
        <v>0</v>
      </c>
      <c r="G11" s="264">
        <v>0</v>
      </c>
      <c r="H11" s="265">
        <v>1</v>
      </c>
      <c r="I11" s="266">
        <v>1</v>
      </c>
      <c r="J11" s="267">
        <v>0</v>
      </c>
      <c r="K11" s="265">
        <v>1</v>
      </c>
      <c r="L11" s="268">
        <v>1</v>
      </c>
      <c r="M11" s="272">
        <v>3</v>
      </c>
      <c r="N11" s="269">
        <v>3</v>
      </c>
      <c r="O11" s="265">
        <v>1</v>
      </c>
      <c r="P11" s="181">
        <v>1</v>
      </c>
      <c r="Q11" s="266">
        <v>2</v>
      </c>
      <c r="R11" s="265">
        <v>0.66666999999999998</v>
      </c>
      <c r="S11" s="181">
        <v>0</v>
      </c>
      <c r="T11" s="271">
        <v>3</v>
      </c>
      <c r="U11" s="658">
        <v>2</v>
      </c>
      <c r="V11" s="264">
        <v>0</v>
      </c>
      <c r="W11" s="264">
        <v>0</v>
      </c>
      <c r="X11" s="265">
        <v>1</v>
      </c>
      <c r="Y11" s="270">
        <v>1</v>
      </c>
      <c r="Z11" s="264">
        <v>0</v>
      </c>
      <c r="AA11" s="265">
        <v>1</v>
      </c>
      <c r="AB11" s="208">
        <v>1</v>
      </c>
      <c r="AC11" s="264" t="s">
        <v>26</v>
      </c>
      <c r="AD11" s="253"/>
      <c r="AE11" s="160">
        <v>0</v>
      </c>
      <c r="AF11" s="185" t="s">
        <v>24</v>
      </c>
      <c r="AG11" s="185" t="s">
        <v>24</v>
      </c>
      <c r="AH11" s="131"/>
      <c r="AI11" s="95" t="s">
        <v>24</v>
      </c>
      <c r="AJ11" s="95" t="s">
        <v>24</v>
      </c>
      <c r="AK11" s="95">
        <v>0</v>
      </c>
      <c r="AL11" s="95"/>
    </row>
    <row r="12" spans="2:38" ht="14.6">
      <c r="B12" s="180" t="s">
        <v>185</v>
      </c>
      <c r="C12" s="428"/>
      <c r="D12" s="216" t="s">
        <v>186</v>
      </c>
      <c r="E12" s="217" t="s">
        <v>64</v>
      </c>
      <c r="F12" s="283">
        <v>0</v>
      </c>
      <c r="G12" s="284">
        <v>0</v>
      </c>
      <c r="H12" s="274">
        <v>1</v>
      </c>
      <c r="I12" s="275">
        <v>1</v>
      </c>
      <c r="J12" s="287">
        <v>0</v>
      </c>
      <c r="K12" s="274">
        <v>1</v>
      </c>
      <c r="L12" s="277">
        <v>1</v>
      </c>
      <c r="M12" s="285">
        <v>4.38921190237222</v>
      </c>
      <c r="N12" s="286">
        <v>4.4537301969835399</v>
      </c>
      <c r="O12" s="274">
        <v>1.0146999999999999</v>
      </c>
      <c r="P12" s="176">
        <v>1</v>
      </c>
      <c r="Q12" s="288">
        <v>3.1168831168831201</v>
      </c>
      <c r="R12" s="274">
        <v>0.71011999999999997</v>
      </c>
      <c r="S12" s="176">
        <v>0</v>
      </c>
      <c r="T12" s="283">
        <v>4.0987750127745102</v>
      </c>
      <c r="U12" s="659">
        <v>2.86</v>
      </c>
      <c r="V12" s="284">
        <v>0</v>
      </c>
      <c r="W12" s="284">
        <v>0</v>
      </c>
      <c r="X12" s="274">
        <v>1</v>
      </c>
      <c r="Y12" s="279">
        <v>1</v>
      </c>
      <c r="Z12" s="284">
        <v>0</v>
      </c>
      <c r="AA12" s="274">
        <v>1</v>
      </c>
      <c r="AB12" s="211">
        <v>1</v>
      </c>
      <c r="AC12" s="273" t="s">
        <v>56</v>
      </c>
      <c r="AD12" s="280"/>
      <c r="AE12" s="160">
        <v>2</v>
      </c>
      <c r="AF12" s="185" t="s">
        <v>24</v>
      </c>
      <c r="AG12" s="185" t="s">
        <v>24</v>
      </c>
      <c r="AH12" s="131"/>
      <c r="AI12" s="95" t="s">
        <v>24</v>
      </c>
      <c r="AJ12" s="95" t="s">
        <v>24</v>
      </c>
      <c r="AK12" s="95">
        <v>0</v>
      </c>
      <c r="AL12" s="95"/>
    </row>
    <row r="13" spans="2:38" ht="14.6">
      <c r="B13" s="190" t="s">
        <v>187</v>
      </c>
      <c r="C13" s="427"/>
      <c r="D13" s="219" t="s">
        <v>188</v>
      </c>
      <c r="E13" s="220" t="s">
        <v>64</v>
      </c>
      <c r="F13" s="271">
        <v>0</v>
      </c>
      <c r="G13" s="264">
        <v>0</v>
      </c>
      <c r="H13" s="265">
        <v>1</v>
      </c>
      <c r="I13" s="266">
        <v>1</v>
      </c>
      <c r="J13" s="267">
        <v>0</v>
      </c>
      <c r="K13" s="265">
        <v>1</v>
      </c>
      <c r="L13" s="268">
        <v>1</v>
      </c>
      <c r="M13" s="272">
        <v>2</v>
      </c>
      <c r="N13" s="269">
        <v>2</v>
      </c>
      <c r="O13" s="265">
        <v>1</v>
      </c>
      <c r="P13" s="181">
        <v>1</v>
      </c>
      <c r="Q13" s="266">
        <v>1</v>
      </c>
      <c r="R13" s="265">
        <v>0.5</v>
      </c>
      <c r="S13" s="181">
        <v>0</v>
      </c>
      <c r="T13" s="271">
        <v>2</v>
      </c>
      <c r="U13" s="658">
        <v>1</v>
      </c>
      <c r="V13" s="264">
        <v>0</v>
      </c>
      <c r="W13" s="264">
        <v>0</v>
      </c>
      <c r="X13" s="265">
        <v>1</v>
      </c>
      <c r="Y13" s="270">
        <v>1</v>
      </c>
      <c r="Z13" s="264">
        <v>0</v>
      </c>
      <c r="AA13" s="265">
        <v>1</v>
      </c>
      <c r="AB13" s="208">
        <v>1</v>
      </c>
      <c r="AC13" s="264" t="s">
        <v>26</v>
      </c>
      <c r="AD13" s="253"/>
      <c r="AE13" s="160">
        <v>0</v>
      </c>
      <c r="AF13" s="185" t="s">
        <v>24</v>
      </c>
      <c r="AG13" s="185" t="s">
        <v>24</v>
      </c>
      <c r="AH13" s="131"/>
      <c r="AI13" s="95" t="s">
        <v>24</v>
      </c>
      <c r="AJ13" s="95" t="s">
        <v>24</v>
      </c>
      <c r="AK13" s="95">
        <v>0</v>
      </c>
      <c r="AL13" s="95"/>
    </row>
    <row r="14" spans="2:38" ht="29.15">
      <c r="B14" s="180" t="s">
        <v>189</v>
      </c>
      <c r="C14" s="428"/>
      <c r="D14" s="216" t="s">
        <v>190</v>
      </c>
      <c r="E14" s="217" t="s">
        <v>64</v>
      </c>
      <c r="F14" s="281">
        <v>0</v>
      </c>
      <c r="G14" s="273">
        <v>0</v>
      </c>
      <c r="H14" s="274">
        <v>1</v>
      </c>
      <c r="I14" s="275">
        <v>1</v>
      </c>
      <c r="J14" s="276">
        <v>0</v>
      </c>
      <c r="K14" s="274">
        <v>1</v>
      </c>
      <c r="L14" s="277">
        <v>1</v>
      </c>
      <c r="M14" s="282">
        <v>0</v>
      </c>
      <c r="N14" s="278">
        <v>0</v>
      </c>
      <c r="O14" s="274">
        <v>1</v>
      </c>
      <c r="P14" s="176">
        <v>1</v>
      </c>
      <c r="Q14" s="275">
        <v>0</v>
      </c>
      <c r="R14" s="274">
        <v>1</v>
      </c>
      <c r="S14" s="176">
        <v>1</v>
      </c>
      <c r="T14" s="281">
        <v>0</v>
      </c>
      <c r="U14" s="660">
        <v>0</v>
      </c>
      <c r="V14" s="273">
        <v>0</v>
      </c>
      <c r="W14" s="273">
        <v>0</v>
      </c>
      <c r="X14" s="274">
        <v>1</v>
      </c>
      <c r="Y14" s="279">
        <v>1</v>
      </c>
      <c r="Z14" s="273">
        <v>0</v>
      </c>
      <c r="AA14" s="274">
        <v>1</v>
      </c>
      <c r="AB14" s="211">
        <v>1</v>
      </c>
      <c r="AC14" s="273" t="s">
        <v>56</v>
      </c>
      <c r="AD14" s="280"/>
      <c r="AE14" s="160">
        <v>0</v>
      </c>
      <c r="AF14" s="185" t="s">
        <v>24</v>
      </c>
      <c r="AG14" s="185" t="s">
        <v>24</v>
      </c>
      <c r="AH14" s="131"/>
      <c r="AI14" s="95" t="s">
        <v>24</v>
      </c>
      <c r="AJ14" s="95" t="s">
        <v>24</v>
      </c>
      <c r="AK14" s="95">
        <v>0</v>
      </c>
      <c r="AL14" s="95"/>
    </row>
    <row r="15" spans="2:38" ht="14.6">
      <c r="B15" s="190" t="s">
        <v>191</v>
      </c>
      <c r="C15" s="427"/>
      <c r="D15" s="219" t="s">
        <v>192</v>
      </c>
      <c r="E15" s="220" t="s">
        <v>64</v>
      </c>
      <c r="F15" s="289">
        <v>0</v>
      </c>
      <c r="G15" s="290">
        <v>0</v>
      </c>
      <c r="H15" s="265">
        <v>1</v>
      </c>
      <c r="I15" s="266">
        <v>1</v>
      </c>
      <c r="J15" s="293">
        <v>0</v>
      </c>
      <c r="K15" s="265">
        <v>1</v>
      </c>
      <c r="L15" s="268">
        <v>1</v>
      </c>
      <c r="M15" s="291">
        <v>0</v>
      </c>
      <c r="N15" s="292">
        <v>0</v>
      </c>
      <c r="O15" s="265">
        <v>1</v>
      </c>
      <c r="P15" s="181">
        <v>1</v>
      </c>
      <c r="Q15" s="294">
        <v>0</v>
      </c>
      <c r="R15" s="265">
        <v>1</v>
      </c>
      <c r="S15" s="181">
        <v>1</v>
      </c>
      <c r="T15" s="289">
        <v>0</v>
      </c>
      <c r="U15" s="661">
        <v>0</v>
      </c>
      <c r="V15" s="290">
        <v>0</v>
      </c>
      <c r="W15" s="290">
        <v>0</v>
      </c>
      <c r="X15" s="265">
        <v>1</v>
      </c>
      <c r="Y15" s="270">
        <v>1</v>
      </c>
      <c r="Z15" s="290">
        <v>0</v>
      </c>
      <c r="AA15" s="265">
        <v>1</v>
      </c>
      <c r="AB15" s="208">
        <v>1</v>
      </c>
      <c r="AC15" s="264" t="s">
        <v>26</v>
      </c>
      <c r="AD15" s="253"/>
      <c r="AE15" s="160">
        <v>2</v>
      </c>
      <c r="AF15" s="185" t="s">
        <v>24</v>
      </c>
      <c r="AG15" s="185" t="s">
        <v>24</v>
      </c>
      <c r="AH15" s="131"/>
      <c r="AI15" s="95" t="s">
        <v>24</v>
      </c>
      <c r="AJ15" s="95" t="s">
        <v>24</v>
      </c>
      <c r="AK15" s="95">
        <v>0</v>
      </c>
      <c r="AL15" s="95"/>
    </row>
    <row r="16" spans="2:38" ht="29.15">
      <c r="B16" s="180" t="s">
        <v>193</v>
      </c>
      <c r="C16" s="428"/>
      <c r="D16" s="216" t="s">
        <v>194</v>
      </c>
      <c r="E16" s="217" t="s">
        <v>64</v>
      </c>
      <c r="F16" s="281">
        <v>0</v>
      </c>
      <c r="G16" s="273">
        <v>0</v>
      </c>
      <c r="H16" s="274">
        <v>1</v>
      </c>
      <c r="I16" s="275">
        <v>1</v>
      </c>
      <c r="J16" s="276">
        <v>0</v>
      </c>
      <c r="K16" s="274">
        <v>1</v>
      </c>
      <c r="L16" s="277">
        <v>1</v>
      </c>
      <c r="M16" s="282">
        <v>0</v>
      </c>
      <c r="N16" s="278">
        <v>0</v>
      </c>
      <c r="O16" s="274">
        <v>1</v>
      </c>
      <c r="P16" s="176">
        <v>1</v>
      </c>
      <c r="Q16" s="275">
        <v>0</v>
      </c>
      <c r="R16" s="274">
        <v>1</v>
      </c>
      <c r="S16" s="176">
        <v>1</v>
      </c>
      <c r="T16" s="281">
        <v>0</v>
      </c>
      <c r="U16" s="660">
        <v>0</v>
      </c>
      <c r="V16" s="273">
        <v>0</v>
      </c>
      <c r="W16" s="273">
        <v>0</v>
      </c>
      <c r="X16" s="274">
        <v>1</v>
      </c>
      <c r="Y16" s="279">
        <v>1</v>
      </c>
      <c r="Z16" s="273">
        <v>0</v>
      </c>
      <c r="AA16" s="274">
        <v>1</v>
      </c>
      <c r="AB16" s="211">
        <v>1</v>
      </c>
      <c r="AC16" s="273" t="s">
        <v>56</v>
      </c>
      <c r="AD16" s="280"/>
      <c r="AE16" s="160">
        <v>0</v>
      </c>
      <c r="AF16" s="185" t="s">
        <v>24</v>
      </c>
      <c r="AG16" s="185" t="s">
        <v>24</v>
      </c>
      <c r="AH16" s="131"/>
      <c r="AI16" s="95" t="s">
        <v>24</v>
      </c>
      <c r="AJ16" s="95" t="s">
        <v>24</v>
      </c>
      <c r="AK16" s="95">
        <v>0</v>
      </c>
      <c r="AL16" s="95"/>
    </row>
    <row r="17" spans="2:38" ht="29.15">
      <c r="B17" s="190" t="s">
        <v>195</v>
      </c>
      <c r="C17" s="427"/>
      <c r="D17" s="219" t="s">
        <v>196</v>
      </c>
      <c r="E17" s="220" t="s">
        <v>64</v>
      </c>
      <c r="F17" s="271">
        <v>0</v>
      </c>
      <c r="G17" s="264">
        <v>0</v>
      </c>
      <c r="H17" s="265">
        <v>1</v>
      </c>
      <c r="I17" s="266">
        <v>1</v>
      </c>
      <c r="J17" s="267">
        <v>0</v>
      </c>
      <c r="K17" s="265">
        <v>1</v>
      </c>
      <c r="L17" s="268">
        <v>1</v>
      </c>
      <c r="M17" s="272">
        <v>0</v>
      </c>
      <c r="N17" s="269">
        <v>0</v>
      </c>
      <c r="O17" s="265">
        <v>1</v>
      </c>
      <c r="P17" s="181">
        <v>1</v>
      </c>
      <c r="Q17" s="266">
        <v>0</v>
      </c>
      <c r="R17" s="265">
        <v>1</v>
      </c>
      <c r="S17" s="181">
        <v>1</v>
      </c>
      <c r="T17" s="271">
        <v>0</v>
      </c>
      <c r="U17" s="658">
        <v>0</v>
      </c>
      <c r="V17" s="264">
        <v>0</v>
      </c>
      <c r="W17" s="264">
        <v>0</v>
      </c>
      <c r="X17" s="265">
        <v>1</v>
      </c>
      <c r="Y17" s="270">
        <v>1</v>
      </c>
      <c r="Z17" s="264">
        <v>0</v>
      </c>
      <c r="AA17" s="265">
        <v>1</v>
      </c>
      <c r="AB17" s="208">
        <v>1</v>
      </c>
      <c r="AC17" s="264" t="s">
        <v>26</v>
      </c>
      <c r="AD17" s="253"/>
      <c r="AE17" s="160">
        <v>0</v>
      </c>
      <c r="AF17" s="185" t="s">
        <v>24</v>
      </c>
      <c r="AG17" s="185" t="s">
        <v>24</v>
      </c>
      <c r="AH17" s="131"/>
      <c r="AI17" s="95" t="s">
        <v>24</v>
      </c>
      <c r="AJ17" s="95" t="s">
        <v>24</v>
      </c>
      <c r="AK17" s="95">
        <v>0</v>
      </c>
      <c r="AL17" s="95"/>
    </row>
    <row r="18" spans="2:38" ht="14.6">
      <c r="B18" s="366" t="s">
        <v>197</v>
      </c>
      <c r="C18" s="432"/>
      <c r="D18" s="367" t="s">
        <v>198</v>
      </c>
      <c r="E18" s="378" t="s">
        <v>105</v>
      </c>
      <c r="F18" s="460">
        <v>96</v>
      </c>
      <c r="G18" s="461">
        <v>96</v>
      </c>
      <c r="H18" s="369">
        <v>1</v>
      </c>
      <c r="I18" s="370">
        <v>1</v>
      </c>
      <c r="J18" s="464">
        <v>96</v>
      </c>
      <c r="K18" s="369">
        <v>1</v>
      </c>
      <c r="L18" s="372">
        <v>1</v>
      </c>
      <c r="M18" s="462">
        <v>96.071818181818202</v>
      </c>
      <c r="N18" s="463">
        <v>96.117272727272706</v>
      </c>
      <c r="O18" s="369">
        <v>0.99953000000000003</v>
      </c>
      <c r="P18" s="374">
        <v>0.95</v>
      </c>
      <c r="Q18" s="465">
        <v>96</v>
      </c>
      <c r="R18" s="369">
        <v>1.00075</v>
      </c>
      <c r="S18" s="374">
        <v>1</v>
      </c>
      <c r="T18" s="460">
        <v>96.107500000000002</v>
      </c>
      <c r="U18" s="662">
        <v>96</v>
      </c>
      <c r="V18" s="461">
        <v>0</v>
      </c>
      <c r="W18" s="461">
        <v>0</v>
      </c>
      <c r="X18" s="369">
        <v>1</v>
      </c>
      <c r="Y18" s="375">
        <v>1</v>
      </c>
      <c r="Z18" s="461">
        <v>0</v>
      </c>
      <c r="AA18" s="369">
        <v>1</v>
      </c>
      <c r="AB18" s="376">
        <v>1</v>
      </c>
      <c r="AC18" s="368" t="s">
        <v>56</v>
      </c>
      <c r="AD18" s="377">
        <v>4</v>
      </c>
      <c r="AE18" s="160">
        <v>2</v>
      </c>
      <c r="AF18" s="185" t="s">
        <v>24</v>
      </c>
      <c r="AG18" s="185" t="s">
        <v>24</v>
      </c>
      <c r="AH18" s="131"/>
      <c r="AI18" s="95" t="s">
        <v>24</v>
      </c>
      <c r="AJ18" s="95" t="s">
        <v>24</v>
      </c>
      <c r="AK18" s="95">
        <v>0</v>
      </c>
      <c r="AL18" s="95"/>
    </row>
    <row r="19" spans="2:38" ht="29.15">
      <c r="B19" s="190" t="s">
        <v>199</v>
      </c>
      <c r="C19" s="427"/>
      <c r="D19" s="219" t="s">
        <v>200</v>
      </c>
      <c r="E19" s="220" t="s">
        <v>64</v>
      </c>
      <c r="F19" s="271">
        <v>16</v>
      </c>
      <c r="G19" s="264">
        <v>16</v>
      </c>
      <c r="H19" s="265">
        <v>1</v>
      </c>
      <c r="I19" s="266">
        <v>1</v>
      </c>
      <c r="J19" s="267">
        <v>16</v>
      </c>
      <c r="K19" s="265">
        <v>1</v>
      </c>
      <c r="L19" s="268">
        <v>1</v>
      </c>
      <c r="M19" s="272">
        <v>176</v>
      </c>
      <c r="N19" s="269">
        <v>176</v>
      </c>
      <c r="O19" s="265">
        <v>1</v>
      </c>
      <c r="P19" s="181">
        <v>1</v>
      </c>
      <c r="Q19" s="266">
        <v>176</v>
      </c>
      <c r="R19" s="265">
        <v>1</v>
      </c>
      <c r="S19" s="181">
        <v>1</v>
      </c>
      <c r="T19" s="271">
        <v>0</v>
      </c>
      <c r="U19" s="658">
        <v>0</v>
      </c>
      <c r="V19" s="264">
        <v>0</v>
      </c>
      <c r="W19" s="264">
        <v>0</v>
      </c>
      <c r="X19" s="265">
        <v>1</v>
      </c>
      <c r="Y19" s="270">
        <v>1</v>
      </c>
      <c r="Z19" s="264">
        <v>0</v>
      </c>
      <c r="AA19" s="265">
        <v>1</v>
      </c>
      <c r="AB19" s="208">
        <v>1</v>
      </c>
      <c r="AC19" s="264" t="s">
        <v>26</v>
      </c>
      <c r="AD19" s="253"/>
      <c r="AE19" s="160">
        <v>0</v>
      </c>
      <c r="AF19" s="185" t="s">
        <v>24</v>
      </c>
      <c r="AG19" s="185" t="s">
        <v>24</v>
      </c>
      <c r="AH19" s="131"/>
      <c r="AI19" s="95" t="s">
        <v>24</v>
      </c>
      <c r="AJ19" s="95" t="s">
        <v>24</v>
      </c>
      <c r="AK19" s="95">
        <v>0</v>
      </c>
      <c r="AL19" s="95"/>
    </row>
    <row r="20" spans="2:38" ht="14.6">
      <c r="B20" s="180" t="s">
        <v>201</v>
      </c>
      <c r="C20" s="428"/>
      <c r="D20" s="216" t="s">
        <v>202</v>
      </c>
      <c r="E20" s="217" t="s">
        <v>64</v>
      </c>
      <c r="F20" s="281">
        <v>24</v>
      </c>
      <c r="G20" s="273">
        <v>24</v>
      </c>
      <c r="H20" s="274">
        <v>1</v>
      </c>
      <c r="I20" s="275">
        <v>1</v>
      </c>
      <c r="J20" s="276">
        <v>24</v>
      </c>
      <c r="K20" s="274">
        <v>1</v>
      </c>
      <c r="L20" s="277">
        <v>1</v>
      </c>
      <c r="M20" s="282">
        <v>264</v>
      </c>
      <c r="N20" s="278">
        <v>264</v>
      </c>
      <c r="O20" s="274">
        <v>1</v>
      </c>
      <c r="P20" s="176">
        <v>1</v>
      </c>
      <c r="Q20" s="275">
        <v>264</v>
      </c>
      <c r="R20" s="274">
        <v>1</v>
      </c>
      <c r="S20" s="176">
        <v>1</v>
      </c>
      <c r="T20" s="281">
        <v>0</v>
      </c>
      <c r="U20" s="660">
        <v>0</v>
      </c>
      <c r="V20" s="273">
        <v>0</v>
      </c>
      <c r="W20" s="273">
        <v>0</v>
      </c>
      <c r="X20" s="274">
        <v>1</v>
      </c>
      <c r="Y20" s="279">
        <v>1</v>
      </c>
      <c r="Z20" s="273">
        <v>0</v>
      </c>
      <c r="AA20" s="274">
        <v>1</v>
      </c>
      <c r="AB20" s="211">
        <v>1</v>
      </c>
      <c r="AC20" s="273" t="s">
        <v>56</v>
      </c>
      <c r="AD20" s="280"/>
      <c r="AE20" s="160">
        <v>0</v>
      </c>
      <c r="AF20" s="185" t="s">
        <v>24</v>
      </c>
      <c r="AG20" s="185" t="s">
        <v>24</v>
      </c>
      <c r="AH20" s="131"/>
      <c r="AI20" s="95" t="s">
        <v>24</v>
      </c>
      <c r="AJ20" s="95" t="s">
        <v>24</v>
      </c>
      <c r="AK20" s="95">
        <v>0</v>
      </c>
      <c r="AL20" s="95"/>
    </row>
    <row r="21" spans="2:38" ht="29.15">
      <c r="B21" s="190" t="s">
        <v>203</v>
      </c>
      <c r="C21" s="427"/>
      <c r="D21" s="219" t="s">
        <v>204</v>
      </c>
      <c r="E21" s="220" t="s">
        <v>64</v>
      </c>
      <c r="F21" s="271">
        <v>0</v>
      </c>
      <c r="G21" s="264">
        <v>0</v>
      </c>
      <c r="H21" s="265">
        <v>1</v>
      </c>
      <c r="I21" s="266">
        <v>1</v>
      </c>
      <c r="J21" s="267">
        <v>0</v>
      </c>
      <c r="K21" s="265">
        <v>1</v>
      </c>
      <c r="L21" s="268">
        <v>1</v>
      </c>
      <c r="M21" s="272">
        <v>6</v>
      </c>
      <c r="N21" s="269">
        <v>6</v>
      </c>
      <c r="O21" s="265">
        <v>1</v>
      </c>
      <c r="P21" s="181">
        <v>1</v>
      </c>
      <c r="Q21" s="266">
        <v>5</v>
      </c>
      <c r="R21" s="265">
        <v>1.2</v>
      </c>
      <c r="S21" s="181">
        <v>1</v>
      </c>
      <c r="T21" s="271">
        <v>0</v>
      </c>
      <c r="U21" s="658">
        <v>0</v>
      </c>
      <c r="V21" s="264">
        <v>0</v>
      </c>
      <c r="W21" s="264">
        <v>0</v>
      </c>
      <c r="X21" s="265">
        <v>1</v>
      </c>
      <c r="Y21" s="270">
        <v>1</v>
      </c>
      <c r="Z21" s="264">
        <v>0</v>
      </c>
      <c r="AA21" s="265">
        <v>1</v>
      </c>
      <c r="AB21" s="208">
        <v>1</v>
      </c>
      <c r="AC21" s="264" t="s">
        <v>26</v>
      </c>
      <c r="AD21" s="253"/>
      <c r="AE21" s="160">
        <v>0</v>
      </c>
      <c r="AF21" s="185" t="s">
        <v>24</v>
      </c>
      <c r="AG21" s="185" t="s">
        <v>24</v>
      </c>
      <c r="AH21" s="131"/>
      <c r="AI21" s="95" t="s">
        <v>24</v>
      </c>
      <c r="AJ21" s="95" t="s">
        <v>24</v>
      </c>
      <c r="AK21" s="95">
        <v>0</v>
      </c>
      <c r="AL21" s="95"/>
    </row>
    <row r="22" spans="2:38" ht="29.15">
      <c r="B22" s="180" t="s">
        <v>205</v>
      </c>
      <c r="C22" s="428"/>
      <c r="D22" s="216" t="s">
        <v>206</v>
      </c>
      <c r="E22" s="217" t="s">
        <v>64</v>
      </c>
      <c r="F22" s="281">
        <v>2</v>
      </c>
      <c r="G22" s="273">
        <v>2</v>
      </c>
      <c r="H22" s="274">
        <v>1</v>
      </c>
      <c r="I22" s="275">
        <v>1</v>
      </c>
      <c r="J22" s="276">
        <v>2</v>
      </c>
      <c r="K22" s="274">
        <v>1</v>
      </c>
      <c r="L22" s="277">
        <v>1</v>
      </c>
      <c r="M22" s="282">
        <v>25</v>
      </c>
      <c r="N22" s="278">
        <v>25</v>
      </c>
      <c r="O22" s="274">
        <v>1</v>
      </c>
      <c r="P22" s="176">
        <v>1</v>
      </c>
      <c r="Q22" s="275">
        <v>22</v>
      </c>
      <c r="R22" s="274">
        <v>1.13636</v>
      </c>
      <c r="S22" s="176">
        <v>1</v>
      </c>
      <c r="T22" s="281">
        <v>0</v>
      </c>
      <c r="U22" s="660">
        <v>0</v>
      </c>
      <c r="V22" s="273">
        <v>0</v>
      </c>
      <c r="W22" s="273">
        <v>0</v>
      </c>
      <c r="X22" s="274">
        <v>1</v>
      </c>
      <c r="Y22" s="279">
        <v>1</v>
      </c>
      <c r="Z22" s="273">
        <v>0</v>
      </c>
      <c r="AA22" s="274">
        <v>1</v>
      </c>
      <c r="AB22" s="211">
        <v>1</v>
      </c>
      <c r="AC22" s="273" t="s">
        <v>56</v>
      </c>
      <c r="AD22" s="280"/>
      <c r="AE22" s="160">
        <v>0</v>
      </c>
      <c r="AF22" s="185" t="s">
        <v>24</v>
      </c>
      <c r="AG22" s="185" t="s">
        <v>24</v>
      </c>
      <c r="AH22" s="131"/>
      <c r="AI22" s="95" t="s">
        <v>24</v>
      </c>
      <c r="AJ22" s="95" t="s">
        <v>24</v>
      </c>
      <c r="AK22" s="95">
        <v>0</v>
      </c>
      <c r="AL22" s="95"/>
    </row>
    <row r="23" spans="2:38" ht="14.6">
      <c r="B23" s="190" t="s">
        <v>207</v>
      </c>
      <c r="C23" s="427"/>
      <c r="D23" s="219" t="s">
        <v>208</v>
      </c>
      <c r="E23" s="220" t="s">
        <v>209</v>
      </c>
      <c r="F23" s="271">
        <v>1350</v>
      </c>
      <c r="G23" s="264">
        <v>1120</v>
      </c>
      <c r="H23" s="265">
        <v>1.20536</v>
      </c>
      <c r="I23" s="266">
        <v>1</v>
      </c>
      <c r="J23" s="267">
        <v>1120</v>
      </c>
      <c r="K23" s="265">
        <v>1.20536</v>
      </c>
      <c r="L23" s="268">
        <v>1</v>
      </c>
      <c r="M23" s="272">
        <v>16688</v>
      </c>
      <c r="N23" s="269">
        <v>16109</v>
      </c>
      <c r="O23" s="265">
        <v>1.0359400000000001</v>
      </c>
      <c r="P23" s="181">
        <v>1</v>
      </c>
      <c r="Q23" s="266">
        <v>12320</v>
      </c>
      <c r="R23" s="265">
        <v>1.3545499999999999</v>
      </c>
      <c r="S23" s="181">
        <v>1</v>
      </c>
      <c r="T23" s="271">
        <v>0</v>
      </c>
      <c r="U23" s="658">
        <v>0</v>
      </c>
      <c r="V23" s="264">
        <v>0</v>
      </c>
      <c r="W23" s="264">
        <v>0</v>
      </c>
      <c r="X23" s="265">
        <v>1</v>
      </c>
      <c r="Y23" s="270">
        <v>1</v>
      </c>
      <c r="Z23" s="264">
        <v>0</v>
      </c>
      <c r="AA23" s="265">
        <v>1</v>
      </c>
      <c r="AB23" s="208">
        <v>1</v>
      </c>
      <c r="AC23" s="264" t="s">
        <v>26</v>
      </c>
      <c r="AD23" s="253"/>
      <c r="AE23" s="160">
        <v>0</v>
      </c>
      <c r="AF23" s="185" t="s">
        <v>24</v>
      </c>
      <c r="AG23" s="185" t="s">
        <v>24</v>
      </c>
      <c r="AH23" s="131"/>
      <c r="AI23" s="95" t="s">
        <v>24</v>
      </c>
      <c r="AJ23" s="95" t="s">
        <v>24</v>
      </c>
      <c r="AK23" s="95">
        <v>0</v>
      </c>
      <c r="AL23" s="95"/>
    </row>
    <row r="24" spans="2:38" ht="29.15">
      <c r="B24" s="180" t="s">
        <v>210</v>
      </c>
      <c r="C24" s="428"/>
      <c r="D24" s="216" t="s">
        <v>211</v>
      </c>
      <c r="E24" s="217" t="s">
        <v>64</v>
      </c>
      <c r="F24" s="281">
        <v>1</v>
      </c>
      <c r="G24" s="273">
        <v>1</v>
      </c>
      <c r="H24" s="274">
        <v>1</v>
      </c>
      <c r="I24" s="275">
        <v>1</v>
      </c>
      <c r="J24" s="276">
        <v>1</v>
      </c>
      <c r="K24" s="274">
        <v>1</v>
      </c>
      <c r="L24" s="277">
        <v>1</v>
      </c>
      <c r="M24" s="282">
        <v>19</v>
      </c>
      <c r="N24" s="278">
        <v>19</v>
      </c>
      <c r="O24" s="274">
        <v>1</v>
      </c>
      <c r="P24" s="176">
        <v>1</v>
      </c>
      <c r="Q24" s="275">
        <v>11</v>
      </c>
      <c r="R24" s="274">
        <v>1.7272699999999999</v>
      </c>
      <c r="S24" s="176">
        <v>1</v>
      </c>
      <c r="T24" s="281">
        <v>0</v>
      </c>
      <c r="U24" s="660">
        <v>0</v>
      </c>
      <c r="V24" s="273">
        <v>0</v>
      </c>
      <c r="W24" s="273">
        <v>0</v>
      </c>
      <c r="X24" s="274">
        <v>1</v>
      </c>
      <c r="Y24" s="279">
        <v>1</v>
      </c>
      <c r="Z24" s="273">
        <v>0</v>
      </c>
      <c r="AA24" s="274">
        <v>1</v>
      </c>
      <c r="AB24" s="211">
        <v>1</v>
      </c>
      <c r="AC24" s="273" t="s">
        <v>56</v>
      </c>
      <c r="AD24" s="280"/>
      <c r="AE24" s="160">
        <v>0</v>
      </c>
      <c r="AF24" s="185" t="s">
        <v>24</v>
      </c>
      <c r="AG24" s="185" t="s">
        <v>24</v>
      </c>
      <c r="AH24" s="131"/>
      <c r="AI24" s="95" t="s">
        <v>24</v>
      </c>
      <c r="AJ24" s="95" t="s">
        <v>24</v>
      </c>
      <c r="AK24" s="95">
        <v>0</v>
      </c>
      <c r="AL24" s="95"/>
    </row>
    <row r="25" spans="2:38" ht="14.6">
      <c r="B25" s="173" t="s">
        <v>47</v>
      </c>
      <c r="C25" s="426"/>
      <c r="D25" s="201" t="s">
        <v>48</v>
      </c>
      <c r="E25" s="202" t="s">
        <v>24</v>
      </c>
      <c r="F25" s="254"/>
      <c r="G25" s="254"/>
      <c r="H25" s="255"/>
      <c r="I25" s="256"/>
      <c r="J25" s="257"/>
      <c r="K25" s="255"/>
      <c r="L25" s="258"/>
      <c r="M25" s="259"/>
      <c r="N25" s="260"/>
      <c r="O25" s="255"/>
      <c r="P25" s="167"/>
      <c r="Q25" s="256"/>
      <c r="R25" s="255"/>
      <c r="S25" s="167"/>
      <c r="T25" s="254"/>
      <c r="U25" s="261"/>
      <c r="V25" s="254"/>
      <c r="W25" s="254"/>
      <c r="X25" s="255"/>
      <c r="Y25" s="262"/>
      <c r="Z25" s="254"/>
      <c r="AA25" s="255"/>
      <c r="AB25" s="215"/>
      <c r="AC25" s="254" t="s">
        <v>25</v>
      </c>
      <c r="AD25" s="263"/>
      <c r="AE25" s="160">
        <v>2</v>
      </c>
      <c r="AF25" s="94"/>
      <c r="AG25" s="94"/>
      <c r="AH25" s="131"/>
      <c r="AI25" s="95" t="s">
        <v>24</v>
      </c>
      <c r="AJ25" s="95" t="s">
        <v>24</v>
      </c>
      <c r="AK25" s="95">
        <v>0</v>
      </c>
      <c r="AL25" s="95"/>
    </row>
    <row r="26" spans="2:38" ht="14.6">
      <c r="B26" s="230" t="s">
        <v>49</v>
      </c>
      <c r="C26" s="430"/>
      <c r="D26" s="307" t="s">
        <v>50</v>
      </c>
      <c r="E26" s="308" t="s">
        <v>64</v>
      </c>
      <c r="F26" s="330">
        <v>0</v>
      </c>
      <c r="G26" s="314">
        <v>0</v>
      </c>
      <c r="H26" s="315">
        <v>1</v>
      </c>
      <c r="I26" s="316">
        <v>1</v>
      </c>
      <c r="J26" s="317">
        <v>0</v>
      </c>
      <c r="K26" s="315">
        <v>1</v>
      </c>
      <c r="L26" s="318">
        <v>1</v>
      </c>
      <c r="M26" s="331">
        <v>0</v>
      </c>
      <c r="N26" s="319">
        <v>0</v>
      </c>
      <c r="O26" s="315">
        <v>1</v>
      </c>
      <c r="P26" s="222">
        <v>1</v>
      </c>
      <c r="Q26" s="316">
        <v>0</v>
      </c>
      <c r="R26" s="315">
        <v>1</v>
      </c>
      <c r="S26" s="222">
        <v>1</v>
      </c>
      <c r="T26" s="330">
        <v>0</v>
      </c>
      <c r="U26" s="663">
        <v>0</v>
      </c>
      <c r="V26" s="314">
        <v>0</v>
      </c>
      <c r="W26" s="314">
        <v>0</v>
      </c>
      <c r="X26" s="315">
        <v>1</v>
      </c>
      <c r="Y26" s="320">
        <v>1</v>
      </c>
      <c r="Z26" s="314">
        <v>0</v>
      </c>
      <c r="AA26" s="315">
        <v>1</v>
      </c>
      <c r="AB26" s="233">
        <v>1</v>
      </c>
      <c r="AC26" s="314" t="s">
        <v>26</v>
      </c>
      <c r="AD26" s="321"/>
      <c r="AE26" s="160">
        <v>0</v>
      </c>
      <c r="AF26" s="185" t="s">
        <v>24</v>
      </c>
      <c r="AG26" s="185" t="s">
        <v>24</v>
      </c>
      <c r="AH26" s="131"/>
      <c r="AI26" s="95" t="s">
        <v>24</v>
      </c>
      <c r="AJ26" s="95" t="s">
        <v>24</v>
      </c>
      <c r="AK26" s="95">
        <v>0</v>
      </c>
      <c r="AL26" s="95"/>
    </row>
    <row r="27" spans="2:38" ht="14.6">
      <c r="B27" s="173" t="s">
        <v>51</v>
      </c>
      <c r="C27" s="426"/>
      <c r="D27" s="201" t="s">
        <v>106</v>
      </c>
      <c r="E27" s="202" t="s">
        <v>24</v>
      </c>
      <c r="F27" s="254"/>
      <c r="G27" s="254"/>
      <c r="H27" s="255"/>
      <c r="I27" s="256"/>
      <c r="J27" s="257"/>
      <c r="K27" s="255"/>
      <c r="L27" s="258"/>
      <c r="M27" s="259"/>
      <c r="N27" s="260"/>
      <c r="O27" s="255"/>
      <c r="P27" s="167"/>
      <c r="Q27" s="256"/>
      <c r="R27" s="255"/>
      <c r="S27" s="167"/>
      <c r="T27" s="254"/>
      <c r="U27" s="261"/>
      <c r="V27" s="254"/>
      <c r="W27" s="254"/>
      <c r="X27" s="255"/>
      <c r="Y27" s="262"/>
      <c r="Z27" s="254"/>
      <c r="AA27" s="255"/>
      <c r="AB27" s="215"/>
      <c r="AC27" s="254" t="s">
        <v>25</v>
      </c>
      <c r="AD27" s="263"/>
      <c r="AE27" s="160">
        <v>0</v>
      </c>
      <c r="AF27" s="94"/>
      <c r="AG27" s="94"/>
      <c r="AH27" s="131"/>
      <c r="AI27" s="95" t="s">
        <v>24</v>
      </c>
      <c r="AJ27" s="95" t="s">
        <v>24</v>
      </c>
      <c r="AK27" s="95">
        <v>0</v>
      </c>
      <c r="AL27" s="95"/>
    </row>
    <row r="28" spans="2:38" ht="14.6" collapsed="1">
      <c r="B28" s="230" t="s">
        <v>52</v>
      </c>
      <c r="C28" s="430"/>
      <c r="D28" s="307" t="s">
        <v>212</v>
      </c>
      <c r="E28" s="308" t="s">
        <v>213</v>
      </c>
      <c r="F28" s="330">
        <v>4070.9510000000014</v>
      </c>
      <c r="G28" s="314">
        <v>4005</v>
      </c>
      <c r="H28" s="315">
        <v>1.01647</v>
      </c>
      <c r="I28" s="316">
        <v>1</v>
      </c>
      <c r="J28" s="317">
        <v>3700.0000000000014</v>
      </c>
      <c r="K28" s="315">
        <v>1.10026</v>
      </c>
      <c r="L28" s="318">
        <v>1</v>
      </c>
      <c r="M28" s="331">
        <v>43649.193999965028</v>
      </c>
      <c r="N28" s="319">
        <v>43556.312999964925</v>
      </c>
      <c r="O28" s="315">
        <v>1.00213</v>
      </c>
      <c r="P28" s="222">
        <v>1</v>
      </c>
      <c r="Q28" s="316">
        <v>42239.999999993102</v>
      </c>
      <c r="R28" s="315">
        <v>1.0333600000000001</v>
      </c>
      <c r="S28" s="222">
        <v>1</v>
      </c>
      <c r="T28" s="330">
        <v>47936.312999964895</v>
      </c>
      <c r="U28" s="663">
        <v>45929.999999993182</v>
      </c>
      <c r="V28" s="314">
        <v>8517.8809999999994</v>
      </c>
      <c r="W28" s="314">
        <v>8425.0000000000109</v>
      </c>
      <c r="X28" s="315">
        <v>1.01102</v>
      </c>
      <c r="Y28" s="320">
        <v>1</v>
      </c>
      <c r="Z28" s="314">
        <v>8109.9999999999873</v>
      </c>
      <c r="AA28" s="315">
        <v>1.0502899999999999</v>
      </c>
      <c r="AB28" s="233">
        <v>1</v>
      </c>
      <c r="AC28" s="314" t="s">
        <v>26</v>
      </c>
      <c r="AD28" s="321"/>
      <c r="AE28" s="160">
        <v>0</v>
      </c>
      <c r="AF28" s="185"/>
      <c r="AG28" s="185"/>
      <c r="AH28" s="131"/>
      <c r="AI28" s="95" t="s">
        <v>24</v>
      </c>
      <c r="AJ28" s="95" t="s">
        <v>24</v>
      </c>
      <c r="AK28" s="95">
        <v>0</v>
      </c>
      <c r="AL28" s="95"/>
    </row>
    <row r="29" spans="2:38" ht="14.6">
      <c r="B29" s="234" t="s">
        <v>54</v>
      </c>
      <c r="C29" s="429"/>
      <c r="D29" s="332" t="s">
        <v>214</v>
      </c>
      <c r="E29" s="309" t="s">
        <v>55</v>
      </c>
      <c r="F29" s="466">
        <v>0.38470459711032823</v>
      </c>
      <c r="G29" s="467">
        <v>0.39370705485336582</v>
      </c>
      <c r="H29" s="323">
        <v>0.97713000000000005</v>
      </c>
      <c r="I29" s="324">
        <v>0.95</v>
      </c>
      <c r="J29" s="470">
        <v>0.38021210742431177</v>
      </c>
      <c r="K29" s="323">
        <v>1.0118199999999999</v>
      </c>
      <c r="L29" s="326">
        <v>1</v>
      </c>
      <c r="M29" s="468">
        <v>0.3839816273006299</v>
      </c>
      <c r="N29" s="469">
        <v>0.38466047093525335</v>
      </c>
      <c r="O29" s="323">
        <v>0.99824000000000002</v>
      </c>
      <c r="P29" s="226">
        <v>0.95</v>
      </c>
      <c r="Q29" s="471">
        <v>0.38005496076819628</v>
      </c>
      <c r="R29" s="323">
        <v>1.01033</v>
      </c>
      <c r="S29" s="226">
        <v>1</v>
      </c>
      <c r="T29" s="466">
        <v>0.38471742535016629</v>
      </c>
      <c r="U29" s="664">
        <v>0.38002239059636228</v>
      </c>
      <c r="V29" s="467">
        <v>0.38305437283179805</v>
      </c>
      <c r="W29" s="467">
        <v>0.38655369645260751</v>
      </c>
      <c r="X29" s="323">
        <v>0.99095</v>
      </c>
      <c r="Y29" s="328">
        <v>0.95</v>
      </c>
      <c r="Z29" s="467">
        <v>0.37999596572471983</v>
      </c>
      <c r="AA29" s="323">
        <v>1.0080499999999999</v>
      </c>
      <c r="AB29" s="237">
        <v>1</v>
      </c>
      <c r="AC29" s="322" t="s">
        <v>56</v>
      </c>
      <c r="AD29" s="329"/>
      <c r="AE29" s="160">
        <v>2</v>
      </c>
      <c r="AF29" s="185" t="s">
        <v>24</v>
      </c>
      <c r="AG29" s="185" t="s">
        <v>24</v>
      </c>
      <c r="AH29" s="131"/>
      <c r="AI29" s="95" t="s">
        <v>24</v>
      </c>
      <c r="AJ29" s="95" t="s">
        <v>24</v>
      </c>
      <c r="AK29" s="95">
        <v>0</v>
      </c>
      <c r="AL29" s="95"/>
    </row>
    <row r="30" spans="2:38" ht="14.6">
      <c r="B30" s="351" t="s">
        <v>58</v>
      </c>
      <c r="C30" s="431"/>
      <c r="D30" s="352" t="s">
        <v>215</v>
      </c>
      <c r="E30" s="361" t="s">
        <v>216</v>
      </c>
      <c r="F30" s="362">
        <v>2884.5349999999999</v>
      </c>
      <c r="G30" s="359">
        <v>2650.0000000000005</v>
      </c>
      <c r="H30" s="353">
        <v>1.0885</v>
      </c>
      <c r="I30" s="354">
        <v>1</v>
      </c>
      <c r="J30" s="365">
        <v>3840</v>
      </c>
      <c r="K30" s="353">
        <v>0.75117999999999996</v>
      </c>
      <c r="L30" s="355">
        <v>0</v>
      </c>
      <c r="M30" s="363">
        <v>28060.986999999997</v>
      </c>
      <c r="N30" s="364">
        <v>28002.278999999922</v>
      </c>
      <c r="O30" s="353">
        <v>1.0021</v>
      </c>
      <c r="P30" s="356">
        <v>1</v>
      </c>
      <c r="Q30" s="354">
        <v>33520.000000038759</v>
      </c>
      <c r="R30" s="353">
        <v>0.83714</v>
      </c>
      <c r="S30" s="356">
        <v>0</v>
      </c>
      <c r="T30" s="362">
        <v>30772.27899999994</v>
      </c>
      <c r="U30" s="665">
        <v>37650.000000038737</v>
      </c>
      <c r="V30" s="359">
        <v>5368.7079999999969</v>
      </c>
      <c r="W30" s="359">
        <v>5309.9999999999991</v>
      </c>
      <c r="X30" s="353">
        <v>1.0110600000000001</v>
      </c>
      <c r="Y30" s="357">
        <v>1</v>
      </c>
      <c r="Z30" s="359">
        <v>6970.0000000000009</v>
      </c>
      <c r="AA30" s="353">
        <v>0.77025999999999994</v>
      </c>
      <c r="AB30" s="358">
        <v>0</v>
      </c>
      <c r="AC30" s="359" t="s">
        <v>26</v>
      </c>
      <c r="AD30" s="360">
        <v>4</v>
      </c>
      <c r="AE30" s="160">
        <v>0</v>
      </c>
      <c r="AF30" s="185" t="s">
        <v>24</v>
      </c>
      <c r="AG30" s="185" t="s">
        <v>24</v>
      </c>
      <c r="AH30" s="131"/>
      <c r="AI30" s="95" t="s">
        <v>24</v>
      </c>
      <c r="AJ30" s="95" t="s">
        <v>24</v>
      </c>
      <c r="AK30" s="95">
        <v>0</v>
      </c>
      <c r="AL30" s="95"/>
    </row>
    <row r="31" spans="2:38" ht="14.6">
      <c r="B31" s="180" t="s">
        <v>83</v>
      </c>
      <c r="C31" s="428"/>
      <c r="D31" s="216" t="s">
        <v>217</v>
      </c>
      <c r="E31" s="217" t="s">
        <v>55</v>
      </c>
      <c r="F31" s="301">
        <v>1.2989123979109285E-2</v>
      </c>
      <c r="G31" s="302">
        <v>1.2999999999999996E-2</v>
      </c>
      <c r="H31" s="274">
        <v>0.99916000000000005</v>
      </c>
      <c r="I31" s="275">
        <v>0.95</v>
      </c>
      <c r="J31" s="305">
        <v>1.3000000000000008E-2</v>
      </c>
      <c r="K31" s="274">
        <v>0.99916000000000005</v>
      </c>
      <c r="L31" s="277">
        <v>0.95</v>
      </c>
      <c r="M31" s="303">
        <v>1.3037082959287205E-2</v>
      </c>
      <c r="N31" s="304">
        <v>1.3037102050122403E-2</v>
      </c>
      <c r="O31" s="274">
        <v>1</v>
      </c>
      <c r="P31" s="176">
        <v>1</v>
      </c>
      <c r="Q31" s="306">
        <v>1.3000000000000036E-2</v>
      </c>
      <c r="R31" s="274">
        <v>1.00285</v>
      </c>
      <c r="S31" s="176">
        <v>1</v>
      </c>
      <c r="T31" s="301">
        <v>1.3033762268923901E-2</v>
      </c>
      <c r="U31" s="666">
        <v>1.3000000000000062E-2</v>
      </c>
      <c r="V31" s="302">
        <v>1.3000305935707442E-2</v>
      </c>
      <c r="W31" s="302">
        <v>1.2999999999999989E-2</v>
      </c>
      <c r="X31" s="274">
        <v>1.0000199999999999</v>
      </c>
      <c r="Y31" s="279">
        <v>1</v>
      </c>
      <c r="Z31" s="302">
        <v>1.3000000000000003E-2</v>
      </c>
      <c r="AA31" s="274">
        <v>1.0000199999999999</v>
      </c>
      <c r="AB31" s="211">
        <v>1</v>
      </c>
      <c r="AC31" s="273" t="s">
        <v>56</v>
      </c>
      <c r="AD31" s="280"/>
      <c r="AE31" s="160">
        <v>2</v>
      </c>
      <c r="AF31" s="185" t="s">
        <v>248</v>
      </c>
      <c r="AG31" s="185" t="s">
        <v>24</v>
      </c>
      <c r="AH31" s="131"/>
      <c r="AI31" s="95" t="s">
        <v>24</v>
      </c>
      <c r="AJ31" s="95" t="s">
        <v>24</v>
      </c>
      <c r="AK31" s="95">
        <v>0</v>
      </c>
      <c r="AL31" s="95"/>
    </row>
    <row r="32" spans="2:38" ht="14.6">
      <c r="B32" s="351" t="s">
        <v>218</v>
      </c>
      <c r="C32" s="431"/>
      <c r="D32" s="352" t="s">
        <v>219</v>
      </c>
      <c r="E32" s="361" t="s">
        <v>216</v>
      </c>
      <c r="F32" s="362">
        <v>70.64</v>
      </c>
      <c r="G32" s="359">
        <v>70</v>
      </c>
      <c r="H32" s="353">
        <v>1.0091399999999999</v>
      </c>
      <c r="I32" s="354">
        <v>1</v>
      </c>
      <c r="J32" s="365">
        <v>70</v>
      </c>
      <c r="K32" s="353">
        <v>1.0091399999999999</v>
      </c>
      <c r="L32" s="355">
        <v>1</v>
      </c>
      <c r="M32" s="363">
        <v>1000.34</v>
      </c>
      <c r="N32" s="364">
        <v>995.25055226909797</v>
      </c>
      <c r="O32" s="353">
        <v>1.0051099999999999</v>
      </c>
      <c r="P32" s="356">
        <v>1</v>
      </c>
      <c r="Q32" s="354">
        <v>860.00000000017997</v>
      </c>
      <c r="R32" s="353">
        <v>1.1631899999999999</v>
      </c>
      <c r="S32" s="356">
        <v>1</v>
      </c>
      <c r="T32" s="362">
        <v>1085.2505522690999</v>
      </c>
      <c r="U32" s="665">
        <v>950.00000000017997</v>
      </c>
      <c r="V32" s="359">
        <v>165.09</v>
      </c>
      <c r="W32" s="359">
        <v>160.00055226909799</v>
      </c>
      <c r="X32" s="353">
        <v>1.0318099999999999</v>
      </c>
      <c r="Y32" s="357">
        <v>1</v>
      </c>
      <c r="Z32" s="359">
        <v>160</v>
      </c>
      <c r="AA32" s="353">
        <v>1.0318099999999999</v>
      </c>
      <c r="AB32" s="358">
        <v>1</v>
      </c>
      <c r="AC32" s="359" t="s">
        <v>26</v>
      </c>
      <c r="AD32" s="360">
        <v>4</v>
      </c>
      <c r="AE32" s="160">
        <v>0</v>
      </c>
      <c r="AF32" s="185"/>
      <c r="AG32" s="185"/>
      <c r="AH32" s="131"/>
      <c r="AI32" s="95" t="s">
        <v>24</v>
      </c>
      <c r="AJ32" s="95" t="s">
        <v>24</v>
      </c>
      <c r="AK32" s="95">
        <v>0</v>
      </c>
      <c r="AL32" s="95"/>
    </row>
    <row r="33" spans="2:38" ht="14.6">
      <c r="B33" s="180" t="s">
        <v>59</v>
      </c>
      <c r="C33" s="428"/>
      <c r="D33" s="216" t="s">
        <v>220</v>
      </c>
      <c r="E33" s="217" t="s">
        <v>55</v>
      </c>
      <c r="F33" s="301">
        <v>0.1521050393700453</v>
      </c>
      <c r="G33" s="302">
        <v>0.14999999999999988</v>
      </c>
      <c r="H33" s="274">
        <v>1.01403</v>
      </c>
      <c r="I33" s="275">
        <v>1</v>
      </c>
      <c r="J33" s="305">
        <v>0.14999999999999988</v>
      </c>
      <c r="K33" s="274">
        <v>1.01403</v>
      </c>
      <c r="L33" s="277">
        <v>1</v>
      </c>
      <c r="M33" s="303">
        <v>0.15604495287040943</v>
      </c>
      <c r="N33" s="304">
        <v>0.15519369155937685</v>
      </c>
      <c r="O33" s="274">
        <v>1.00549</v>
      </c>
      <c r="P33" s="176">
        <v>1</v>
      </c>
      <c r="Q33" s="306">
        <v>0.14999999999999986</v>
      </c>
      <c r="R33" s="274">
        <v>1.0403</v>
      </c>
      <c r="S33" s="176">
        <v>1</v>
      </c>
      <c r="T33" s="301">
        <v>0.15476297789665003</v>
      </c>
      <c r="U33" s="666">
        <v>0.15000000000000005</v>
      </c>
      <c r="V33" s="302">
        <v>0.15531821286328665</v>
      </c>
      <c r="W33" s="302">
        <v>0.15000000000000011</v>
      </c>
      <c r="X33" s="274">
        <v>1.03545</v>
      </c>
      <c r="Y33" s="279">
        <v>1</v>
      </c>
      <c r="Z33" s="302">
        <v>0.15000000000000013</v>
      </c>
      <c r="AA33" s="274">
        <v>1.03545</v>
      </c>
      <c r="AB33" s="211">
        <v>1</v>
      </c>
      <c r="AC33" s="273" t="s">
        <v>56</v>
      </c>
      <c r="AD33" s="280"/>
      <c r="AE33" s="160">
        <v>2</v>
      </c>
      <c r="AF33" s="185" t="s">
        <v>24</v>
      </c>
      <c r="AG33" s="185" t="s">
        <v>24</v>
      </c>
      <c r="AH33" s="131"/>
      <c r="AI33" s="95" t="s">
        <v>24</v>
      </c>
      <c r="AJ33" s="95" t="s">
        <v>24</v>
      </c>
      <c r="AK33" s="95">
        <v>0</v>
      </c>
      <c r="AL33" s="95"/>
    </row>
    <row r="34" spans="2:38" ht="36">
      <c r="B34" s="351" t="s">
        <v>221</v>
      </c>
      <c r="C34" s="431"/>
      <c r="D34" s="352" t="s">
        <v>222</v>
      </c>
      <c r="E34" s="361" t="s">
        <v>216</v>
      </c>
      <c r="F34" s="362">
        <v>298.88</v>
      </c>
      <c r="G34" s="359">
        <v>331.49750287471699</v>
      </c>
      <c r="H34" s="353">
        <v>0.90161000000000002</v>
      </c>
      <c r="I34" s="354">
        <v>0</v>
      </c>
      <c r="J34" s="365">
        <v>385.00000871088997</v>
      </c>
      <c r="K34" s="353">
        <v>0.77630999999999994</v>
      </c>
      <c r="L34" s="355">
        <v>0</v>
      </c>
      <c r="M34" s="363">
        <v>3877.96</v>
      </c>
      <c r="N34" s="364">
        <v>3902.2874555663702</v>
      </c>
      <c r="O34" s="353">
        <v>0.99377000000000004</v>
      </c>
      <c r="P34" s="356">
        <v>0.95</v>
      </c>
      <c r="Q34" s="354">
        <v>3866.9982216434501</v>
      </c>
      <c r="R34" s="353">
        <v>1.0028300000000001</v>
      </c>
      <c r="S34" s="356">
        <v>1</v>
      </c>
      <c r="T34" s="362">
        <v>4227.7874437660403</v>
      </c>
      <c r="U34" s="665">
        <v>4259.4982305764797</v>
      </c>
      <c r="V34" s="359">
        <v>635.66999999999996</v>
      </c>
      <c r="W34" s="359">
        <v>659.99745556636606</v>
      </c>
      <c r="X34" s="353">
        <v>0.96314</v>
      </c>
      <c r="Y34" s="357">
        <v>0.95</v>
      </c>
      <c r="Z34" s="359">
        <v>759.00001818473402</v>
      </c>
      <c r="AA34" s="353">
        <v>0.83750999999999998</v>
      </c>
      <c r="AB34" s="358">
        <v>0</v>
      </c>
      <c r="AC34" s="359" t="s">
        <v>26</v>
      </c>
      <c r="AD34" s="360">
        <v>4</v>
      </c>
      <c r="AE34" s="160">
        <v>0</v>
      </c>
      <c r="AF34" s="185" t="s">
        <v>368</v>
      </c>
      <c r="AG34" s="185" t="s">
        <v>24</v>
      </c>
      <c r="AH34" s="131"/>
      <c r="AI34" s="95" t="s">
        <v>24</v>
      </c>
      <c r="AJ34" s="95" t="s">
        <v>24</v>
      </c>
      <c r="AK34" s="95">
        <v>0</v>
      </c>
      <c r="AL34" s="95"/>
    </row>
    <row r="35" spans="2:38" ht="14.6">
      <c r="B35" s="180" t="s">
        <v>107</v>
      </c>
      <c r="C35" s="428"/>
      <c r="D35" s="216" t="s">
        <v>223</v>
      </c>
      <c r="E35" s="217" t="s">
        <v>55</v>
      </c>
      <c r="F35" s="301">
        <v>0.63910291068489011</v>
      </c>
      <c r="G35" s="302">
        <v>0.64000000000000035</v>
      </c>
      <c r="H35" s="274">
        <v>0.99860000000000004</v>
      </c>
      <c r="I35" s="275">
        <v>0.95</v>
      </c>
      <c r="J35" s="305">
        <v>0.64000000000000024</v>
      </c>
      <c r="K35" s="274">
        <v>0.99860000000000004</v>
      </c>
      <c r="L35" s="277">
        <v>0.95</v>
      </c>
      <c r="M35" s="303">
        <v>0.64408400867517901</v>
      </c>
      <c r="N35" s="304">
        <v>0.64401480848512971</v>
      </c>
      <c r="O35" s="274">
        <v>1.0001100000000001</v>
      </c>
      <c r="P35" s="176">
        <v>1</v>
      </c>
      <c r="Q35" s="306">
        <v>0.64000000000000434</v>
      </c>
      <c r="R35" s="274">
        <v>1.0063800000000001</v>
      </c>
      <c r="S35" s="176">
        <v>1</v>
      </c>
      <c r="T35" s="301">
        <v>0.64370321960252619</v>
      </c>
      <c r="U35" s="666">
        <v>0.64000000000000468</v>
      </c>
      <c r="V35" s="302">
        <v>0.64031712155049036</v>
      </c>
      <c r="W35" s="302">
        <v>0.64000000000000012</v>
      </c>
      <c r="X35" s="274">
        <v>1.0004999999999999</v>
      </c>
      <c r="Y35" s="279">
        <v>1</v>
      </c>
      <c r="Z35" s="302">
        <v>0.63999999999999946</v>
      </c>
      <c r="AA35" s="274">
        <v>1.0004999999999999</v>
      </c>
      <c r="AB35" s="211">
        <v>1</v>
      </c>
      <c r="AC35" s="273" t="s">
        <v>56</v>
      </c>
      <c r="AD35" s="280"/>
      <c r="AE35" s="160">
        <v>2</v>
      </c>
      <c r="AF35" s="185" t="s">
        <v>24</v>
      </c>
      <c r="AG35" s="185" t="s">
        <v>24</v>
      </c>
      <c r="AH35" s="131"/>
      <c r="AI35" s="95" t="s">
        <v>24</v>
      </c>
      <c r="AJ35" s="95" t="s">
        <v>24</v>
      </c>
      <c r="AK35" s="95">
        <v>0</v>
      </c>
      <c r="AL35" s="95"/>
    </row>
    <row r="36" spans="2:38" ht="14.6">
      <c r="B36" s="230" t="s">
        <v>108</v>
      </c>
      <c r="C36" s="430"/>
      <c r="D36" s="307" t="s">
        <v>224</v>
      </c>
      <c r="E36" s="308" t="s">
        <v>216</v>
      </c>
      <c r="F36" s="330">
        <v>7026.1260000000002</v>
      </c>
      <c r="G36" s="314">
        <v>6725</v>
      </c>
      <c r="H36" s="315">
        <v>1.04478</v>
      </c>
      <c r="I36" s="316">
        <v>1</v>
      </c>
      <c r="J36" s="317">
        <v>7610</v>
      </c>
      <c r="K36" s="315">
        <v>0.92327999999999999</v>
      </c>
      <c r="L36" s="318">
        <v>0</v>
      </c>
      <c r="M36" s="331">
        <v>72710.520999964996</v>
      </c>
      <c r="N36" s="319">
        <v>72553.842552233909</v>
      </c>
      <c r="O36" s="315">
        <v>1.0021599999999999</v>
      </c>
      <c r="P36" s="222">
        <v>1</v>
      </c>
      <c r="Q36" s="316">
        <v>76620.000000032087</v>
      </c>
      <c r="R36" s="315">
        <v>0.94898000000000005</v>
      </c>
      <c r="S36" s="222">
        <v>0</v>
      </c>
      <c r="T36" s="330">
        <v>79793.842552233895</v>
      </c>
      <c r="U36" s="663">
        <v>84530.000000032087</v>
      </c>
      <c r="V36" s="314">
        <v>14051.679</v>
      </c>
      <c r="W36" s="314">
        <v>13895.000552269108</v>
      </c>
      <c r="X36" s="315">
        <v>1.01128</v>
      </c>
      <c r="Y36" s="320">
        <v>1</v>
      </c>
      <c r="Z36" s="314">
        <v>15239.999999999991</v>
      </c>
      <c r="AA36" s="315">
        <v>0.92203000000000002</v>
      </c>
      <c r="AB36" s="233">
        <v>0</v>
      </c>
      <c r="AC36" s="314" t="s">
        <v>26</v>
      </c>
      <c r="AD36" s="321">
        <v>1</v>
      </c>
      <c r="AE36" s="160">
        <v>0</v>
      </c>
      <c r="AF36" s="185" t="s">
        <v>248</v>
      </c>
      <c r="AG36" s="185" t="s">
        <v>24</v>
      </c>
      <c r="AH36" s="131"/>
      <c r="AI36" s="95" t="s">
        <v>24</v>
      </c>
      <c r="AJ36" s="95" t="s">
        <v>24</v>
      </c>
      <c r="AK36" s="95">
        <v>0</v>
      </c>
      <c r="AL36" s="95"/>
    </row>
    <row r="37" spans="2:38" ht="14.6" collapsed="1">
      <c r="B37" s="392" t="s">
        <v>109</v>
      </c>
      <c r="C37" s="433"/>
      <c r="D37" s="393" t="s">
        <v>225</v>
      </c>
      <c r="E37" s="402" t="s">
        <v>216</v>
      </c>
      <c r="F37" s="403">
        <v>1618.5552</v>
      </c>
      <c r="G37" s="400">
        <v>1524.599999999999</v>
      </c>
      <c r="H37" s="394">
        <v>1.0616300000000001</v>
      </c>
      <c r="I37" s="395">
        <v>1</v>
      </c>
      <c r="J37" s="406">
        <v>1374.9694433280399</v>
      </c>
      <c r="K37" s="394">
        <v>1.17716</v>
      </c>
      <c r="L37" s="396">
        <v>1</v>
      </c>
      <c r="M37" s="404">
        <v>16587.237400000002</v>
      </c>
      <c r="N37" s="405">
        <v>16536.098200000029</v>
      </c>
      <c r="O37" s="394">
        <v>1.00309</v>
      </c>
      <c r="P37" s="397">
        <v>1</v>
      </c>
      <c r="Q37" s="395">
        <v>15634.9950134717</v>
      </c>
      <c r="R37" s="394">
        <v>1.0609</v>
      </c>
      <c r="S37" s="397">
        <v>1</v>
      </c>
      <c r="T37" s="403">
        <v>18180.698200000032</v>
      </c>
      <c r="U37" s="667">
        <v>17025.018047535999</v>
      </c>
      <c r="V37" s="400">
        <v>3210.9088000000002</v>
      </c>
      <c r="W37" s="400">
        <v>3159.8</v>
      </c>
      <c r="X37" s="394">
        <v>1.01617</v>
      </c>
      <c r="Y37" s="398">
        <v>1</v>
      </c>
      <c r="Z37" s="400">
        <v>3014.9196831832</v>
      </c>
      <c r="AA37" s="394">
        <v>1.06501</v>
      </c>
      <c r="AB37" s="399">
        <v>1</v>
      </c>
      <c r="AC37" s="400" t="s">
        <v>56</v>
      </c>
      <c r="AD37" s="401">
        <v>4</v>
      </c>
      <c r="AE37" s="160">
        <v>0</v>
      </c>
      <c r="AF37" s="185"/>
      <c r="AG37" s="185"/>
      <c r="AH37" s="131"/>
      <c r="AI37" s="95" t="s">
        <v>24</v>
      </c>
      <c r="AJ37" s="95" t="s">
        <v>24</v>
      </c>
      <c r="AK37" s="95">
        <v>0</v>
      </c>
      <c r="AL37" s="95"/>
    </row>
    <row r="38" spans="2:38" ht="14.6">
      <c r="B38" s="230" t="s">
        <v>110</v>
      </c>
      <c r="C38" s="430"/>
      <c r="D38" s="307" t="s">
        <v>226</v>
      </c>
      <c r="E38" s="308" t="s">
        <v>216</v>
      </c>
      <c r="F38" s="330">
        <v>16.002199999999998</v>
      </c>
      <c r="G38" s="314">
        <v>15</v>
      </c>
      <c r="H38" s="315">
        <v>1.06681</v>
      </c>
      <c r="I38" s="316">
        <v>1</v>
      </c>
      <c r="J38" s="317">
        <v>20</v>
      </c>
      <c r="K38" s="315">
        <v>0.80010999999999999</v>
      </c>
      <c r="L38" s="318">
        <v>0</v>
      </c>
      <c r="M38" s="331">
        <v>98</v>
      </c>
      <c r="N38" s="319">
        <v>96.997799999999998</v>
      </c>
      <c r="O38" s="315">
        <v>1.01033</v>
      </c>
      <c r="P38" s="222">
        <v>1</v>
      </c>
      <c r="Q38" s="316">
        <v>120.00000000000017</v>
      </c>
      <c r="R38" s="315">
        <v>0.81667000000000001</v>
      </c>
      <c r="S38" s="222">
        <v>0</v>
      </c>
      <c r="T38" s="330">
        <v>96.997799999999998</v>
      </c>
      <c r="U38" s="663">
        <v>120.00000000000017</v>
      </c>
      <c r="V38" s="314">
        <v>16.002199999999998</v>
      </c>
      <c r="W38" s="314">
        <v>15</v>
      </c>
      <c r="X38" s="315">
        <v>1.06681</v>
      </c>
      <c r="Y38" s="320">
        <v>1</v>
      </c>
      <c r="Z38" s="314">
        <v>20</v>
      </c>
      <c r="AA38" s="315">
        <v>0.80010999999999999</v>
      </c>
      <c r="AB38" s="233">
        <v>0</v>
      </c>
      <c r="AC38" s="314" t="s">
        <v>26</v>
      </c>
      <c r="AD38" s="321"/>
      <c r="AE38" s="160">
        <v>0</v>
      </c>
      <c r="AF38" s="185" t="s">
        <v>248</v>
      </c>
      <c r="AG38" s="185" t="s">
        <v>24</v>
      </c>
      <c r="AH38" s="131"/>
      <c r="AI38" s="95" t="s">
        <v>24</v>
      </c>
      <c r="AJ38" s="95" t="s">
        <v>24</v>
      </c>
      <c r="AK38" s="95">
        <v>0</v>
      </c>
      <c r="AL38" s="95"/>
    </row>
    <row r="39" spans="2:38" ht="14.6">
      <c r="B39" s="180" t="s">
        <v>227</v>
      </c>
      <c r="C39" s="428"/>
      <c r="D39" s="216" t="s">
        <v>228</v>
      </c>
      <c r="E39" s="217" t="s">
        <v>55</v>
      </c>
      <c r="F39" s="301">
        <v>0.94832000000000005</v>
      </c>
      <c r="G39" s="302">
        <v>0.94000000000000028</v>
      </c>
      <c r="H39" s="274">
        <v>1.00885</v>
      </c>
      <c r="I39" s="275">
        <v>1</v>
      </c>
      <c r="J39" s="305">
        <v>0.93999999999999984</v>
      </c>
      <c r="K39" s="274">
        <v>1.00885</v>
      </c>
      <c r="L39" s="277">
        <v>1</v>
      </c>
      <c r="M39" s="303">
        <v>0.94401453514285705</v>
      </c>
      <c r="N39" s="304">
        <v>0.94268342312918396</v>
      </c>
      <c r="O39" s="274">
        <v>1.0014099999999999</v>
      </c>
      <c r="P39" s="176">
        <v>1</v>
      </c>
      <c r="Q39" s="306">
        <v>0.93999999999999961</v>
      </c>
      <c r="R39" s="274">
        <v>1.00427</v>
      </c>
      <c r="S39" s="176">
        <v>1</v>
      </c>
      <c r="T39" s="301">
        <v>0.94268342312918396</v>
      </c>
      <c r="U39" s="666">
        <v>0.93999999999999961</v>
      </c>
      <c r="V39" s="302">
        <v>0.94832000000000005</v>
      </c>
      <c r="W39" s="302">
        <v>0.94000000000000028</v>
      </c>
      <c r="X39" s="274">
        <v>1.00885</v>
      </c>
      <c r="Y39" s="279">
        <v>1</v>
      </c>
      <c r="Z39" s="302">
        <v>0.93999999999999984</v>
      </c>
      <c r="AA39" s="274">
        <v>1.00885</v>
      </c>
      <c r="AB39" s="211">
        <v>1</v>
      </c>
      <c r="AC39" s="273" t="s">
        <v>56</v>
      </c>
      <c r="AD39" s="280"/>
      <c r="AE39" s="160">
        <v>2</v>
      </c>
      <c r="AF39" s="185" t="s">
        <v>24</v>
      </c>
      <c r="AG39" s="185" t="s">
        <v>24</v>
      </c>
      <c r="AH39" s="131"/>
      <c r="AI39" s="95" t="s">
        <v>24</v>
      </c>
      <c r="AJ39" s="95" t="s">
        <v>24</v>
      </c>
      <c r="AK39" s="95">
        <v>0</v>
      </c>
      <c r="AL39" s="95"/>
    </row>
    <row r="40" spans="2:38" ht="14.6">
      <c r="B40" s="230" t="s">
        <v>111</v>
      </c>
      <c r="C40" s="430"/>
      <c r="D40" s="307" t="s">
        <v>229</v>
      </c>
      <c r="E40" s="308" t="s">
        <v>53</v>
      </c>
      <c r="F40" s="330"/>
      <c r="G40" s="314"/>
      <c r="H40" s="315"/>
      <c r="I40" s="316"/>
      <c r="J40" s="317"/>
      <c r="K40" s="315"/>
      <c r="L40" s="318"/>
      <c r="M40" s="331">
        <v>0</v>
      </c>
      <c r="N40" s="319"/>
      <c r="O40" s="315">
        <v>1</v>
      </c>
      <c r="P40" s="222">
        <v>1</v>
      </c>
      <c r="Q40" s="316"/>
      <c r="R40" s="315">
        <v>1</v>
      </c>
      <c r="S40" s="222">
        <v>1</v>
      </c>
      <c r="T40" s="330"/>
      <c r="U40" s="663"/>
      <c r="V40" s="314">
        <v>0</v>
      </c>
      <c r="W40" s="314"/>
      <c r="X40" s="315">
        <v>1</v>
      </c>
      <c r="Y40" s="320">
        <v>1</v>
      </c>
      <c r="Z40" s="314"/>
      <c r="AA40" s="315">
        <v>1</v>
      </c>
      <c r="AB40" s="233">
        <v>1</v>
      </c>
      <c r="AC40" s="314" t="s">
        <v>26</v>
      </c>
      <c r="AD40" s="321"/>
      <c r="AE40" s="160">
        <v>0</v>
      </c>
      <c r="AF40" s="185" t="s">
        <v>24</v>
      </c>
      <c r="AG40" s="185" t="s">
        <v>24</v>
      </c>
      <c r="AH40" s="131"/>
      <c r="AI40" s="95" t="s">
        <v>24</v>
      </c>
      <c r="AJ40" s="95" t="s">
        <v>24</v>
      </c>
      <c r="AK40" s="95">
        <v>0</v>
      </c>
      <c r="AL40" s="95"/>
    </row>
    <row r="41" spans="2:38" ht="14.6">
      <c r="B41" s="180" t="s">
        <v>230</v>
      </c>
      <c r="C41" s="428"/>
      <c r="D41" s="216" t="s">
        <v>231</v>
      </c>
      <c r="E41" s="217" t="s">
        <v>55</v>
      </c>
      <c r="F41" s="301"/>
      <c r="G41" s="302"/>
      <c r="H41" s="274"/>
      <c r="I41" s="275"/>
      <c r="J41" s="305"/>
      <c r="K41" s="274"/>
      <c r="L41" s="277"/>
      <c r="M41" s="303">
        <v>0</v>
      </c>
      <c r="N41" s="304"/>
      <c r="O41" s="274">
        <v>1</v>
      </c>
      <c r="P41" s="176">
        <v>1</v>
      </c>
      <c r="Q41" s="306"/>
      <c r="R41" s="274">
        <v>1</v>
      </c>
      <c r="S41" s="176">
        <v>1</v>
      </c>
      <c r="T41" s="301"/>
      <c r="U41" s="666"/>
      <c r="V41" s="302">
        <v>0</v>
      </c>
      <c r="W41" s="302"/>
      <c r="X41" s="274">
        <v>1</v>
      </c>
      <c r="Y41" s="279">
        <v>1</v>
      </c>
      <c r="Z41" s="302"/>
      <c r="AA41" s="274">
        <v>1</v>
      </c>
      <c r="AB41" s="211">
        <v>1</v>
      </c>
      <c r="AC41" s="273" t="s">
        <v>56</v>
      </c>
      <c r="AD41" s="280"/>
      <c r="AE41" s="160">
        <v>2</v>
      </c>
      <c r="AF41" s="185" t="s">
        <v>24</v>
      </c>
      <c r="AG41" s="185" t="s">
        <v>24</v>
      </c>
      <c r="AH41" s="131"/>
      <c r="AI41" s="95" t="s">
        <v>24</v>
      </c>
      <c r="AJ41" s="95" t="s">
        <v>24</v>
      </c>
      <c r="AK41" s="95">
        <v>0</v>
      </c>
      <c r="AL41" s="95"/>
    </row>
    <row r="42" spans="2:38" ht="14.6" collapsed="1">
      <c r="B42" s="190" t="s">
        <v>232</v>
      </c>
      <c r="C42" s="427"/>
      <c r="D42" s="219" t="s">
        <v>233</v>
      </c>
      <c r="E42" s="220" t="s">
        <v>53</v>
      </c>
      <c r="F42" s="271"/>
      <c r="G42" s="264"/>
      <c r="H42" s="265"/>
      <c r="I42" s="266"/>
      <c r="J42" s="267"/>
      <c r="K42" s="265"/>
      <c r="L42" s="268"/>
      <c r="M42" s="272">
        <v>0</v>
      </c>
      <c r="N42" s="269"/>
      <c r="O42" s="265">
        <v>1</v>
      </c>
      <c r="P42" s="181">
        <v>1</v>
      </c>
      <c r="Q42" s="266"/>
      <c r="R42" s="265">
        <v>1</v>
      </c>
      <c r="S42" s="181">
        <v>1</v>
      </c>
      <c r="T42" s="271"/>
      <c r="U42" s="658"/>
      <c r="V42" s="264">
        <v>0</v>
      </c>
      <c r="W42" s="264"/>
      <c r="X42" s="265">
        <v>1</v>
      </c>
      <c r="Y42" s="270">
        <v>1</v>
      </c>
      <c r="Z42" s="264"/>
      <c r="AA42" s="265">
        <v>1</v>
      </c>
      <c r="AB42" s="208">
        <v>1</v>
      </c>
      <c r="AC42" s="264" t="s">
        <v>26</v>
      </c>
      <c r="AD42" s="253"/>
      <c r="AE42" s="160">
        <v>0</v>
      </c>
      <c r="AF42" s="185" t="s">
        <v>24</v>
      </c>
      <c r="AG42" s="185" t="s">
        <v>24</v>
      </c>
      <c r="AH42" s="131">
        <v>15001700</v>
      </c>
      <c r="AI42" s="95" t="s">
        <v>24</v>
      </c>
      <c r="AJ42" s="95" t="s">
        <v>24</v>
      </c>
      <c r="AK42" s="95">
        <v>0</v>
      </c>
      <c r="AL42" s="95"/>
    </row>
    <row r="43" spans="2:38" ht="14.6" hidden="1" outlineLevel="1">
      <c r="B43" s="180" t="s">
        <v>234</v>
      </c>
      <c r="C43" s="428"/>
      <c r="D43" s="216" t="s">
        <v>235</v>
      </c>
      <c r="E43" s="217" t="s">
        <v>53</v>
      </c>
      <c r="F43" s="281"/>
      <c r="G43" s="273"/>
      <c r="H43" s="274"/>
      <c r="I43" s="275"/>
      <c r="J43" s="276"/>
      <c r="K43" s="274"/>
      <c r="L43" s="277"/>
      <c r="M43" s="282">
        <v>0</v>
      </c>
      <c r="N43" s="278"/>
      <c r="O43" s="274">
        <v>1</v>
      </c>
      <c r="P43" s="176">
        <v>1</v>
      </c>
      <c r="Q43" s="275"/>
      <c r="R43" s="274">
        <v>1</v>
      </c>
      <c r="S43" s="176">
        <v>1</v>
      </c>
      <c r="T43" s="281"/>
      <c r="U43" s="660"/>
      <c r="V43" s="273">
        <v>0</v>
      </c>
      <c r="W43" s="273"/>
      <c r="X43" s="274">
        <v>1</v>
      </c>
      <c r="Y43" s="279">
        <v>1</v>
      </c>
      <c r="Z43" s="273"/>
      <c r="AA43" s="274">
        <v>1</v>
      </c>
      <c r="AB43" s="211">
        <v>1</v>
      </c>
      <c r="AC43" s="273" t="s">
        <v>56</v>
      </c>
      <c r="AD43" s="280"/>
      <c r="AE43" s="160">
        <v>0</v>
      </c>
      <c r="AF43" s="185" t="s">
        <v>248</v>
      </c>
      <c r="AG43" s="185" t="s">
        <v>24</v>
      </c>
      <c r="AH43" s="131">
        <v>15001700</v>
      </c>
      <c r="AI43" s="95" t="s">
        <v>24</v>
      </c>
      <c r="AJ43" s="95" t="s">
        <v>24</v>
      </c>
      <c r="AK43" s="95">
        <v>0</v>
      </c>
      <c r="AL43" s="95"/>
    </row>
    <row r="44" spans="2:38" ht="14.6">
      <c r="B44" s="230" t="s">
        <v>236</v>
      </c>
      <c r="C44" s="430"/>
      <c r="D44" s="307" t="s">
        <v>237</v>
      </c>
      <c r="E44" s="308" t="s">
        <v>55</v>
      </c>
      <c r="F44" s="472">
        <v>1.0188012058582328</v>
      </c>
      <c r="G44" s="473">
        <v>0.95497477063853586</v>
      </c>
      <c r="H44" s="315">
        <v>1.06684</v>
      </c>
      <c r="I44" s="316">
        <v>1</v>
      </c>
      <c r="J44" s="476">
        <v>0.95679608232826718</v>
      </c>
      <c r="K44" s="315">
        <v>1.0648</v>
      </c>
      <c r="L44" s="318">
        <v>1</v>
      </c>
      <c r="M44" s="474">
        <v>0.97392486638055809</v>
      </c>
      <c r="N44" s="475">
        <v>0.97126521461814297</v>
      </c>
      <c r="O44" s="315">
        <v>1.00274</v>
      </c>
      <c r="P44" s="222">
        <v>1</v>
      </c>
      <c r="Q44" s="477">
        <v>0.95503221123078696</v>
      </c>
      <c r="R44" s="315">
        <v>1.0197799999999999</v>
      </c>
      <c r="S44" s="222">
        <v>1</v>
      </c>
      <c r="T44" s="472">
        <v>0.96970351534607369</v>
      </c>
      <c r="U44" s="668">
        <v>0.9550788110251115</v>
      </c>
      <c r="V44" s="473">
        <v>0.96803630811563302</v>
      </c>
      <c r="W44" s="473">
        <v>0.95434259165503321</v>
      </c>
      <c r="X44" s="315">
        <v>1.0143500000000001</v>
      </c>
      <c r="Y44" s="320">
        <v>1</v>
      </c>
      <c r="Z44" s="473">
        <v>0.95629221037805967</v>
      </c>
      <c r="AA44" s="315">
        <v>1.0122800000000001</v>
      </c>
      <c r="AB44" s="233">
        <v>1</v>
      </c>
      <c r="AC44" s="314" t="s">
        <v>26</v>
      </c>
      <c r="AD44" s="321">
        <v>1</v>
      </c>
      <c r="AE44" s="160">
        <v>1</v>
      </c>
      <c r="AF44" s="185"/>
      <c r="AG44" s="185"/>
      <c r="AH44" s="131"/>
      <c r="AI44" s="95" t="s">
        <v>24</v>
      </c>
      <c r="AJ44" s="95" t="s">
        <v>24</v>
      </c>
      <c r="AK44" s="95">
        <v>0</v>
      </c>
      <c r="AL44" s="95"/>
    </row>
    <row r="45" spans="2:38" ht="14.6">
      <c r="B45" s="234" t="s">
        <v>238</v>
      </c>
      <c r="C45" s="429"/>
      <c r="D45" s="332" t="s">
        <v>239</v>
      </c>
      <c r="E45" s="309" t="s">
        <v>64</v>
      </c>
      <c r="F45" s="333">
        <v>30</v>
      </c>
      <c r="G45" s="322">
        <v>30</v>
      </c>
      <c r="H45" s="323">
        <v>1</v>
      </c>
      <c r="I45" s="324">
        <v>1</v>
      </c>
      <c r="J45" s="325">
        <v>30</v>
      </c>
      <c r="K45" s="323">
        <v>1</v>
      </c>
      <c r="L45" s="326">
        <v>1</v>
      </c>
      <c r="M45" s="334">
        <v>313</v>
      </c>
      <c r="N45" s="327">
        <v>313</v>
      </c>
      <c r="O45" s="323">
        <v>1</v>
      </c>
      <c r="P45" s="226">
        <v>1</v>
      </c>
      <c r="Q45" s="324">
        <v>313</v>
      </c>
      <c r="R45" s="323">
        <v>1</v>
      </c>
      <c r="S45" s="226">
        <v>1</v>
      </c>
      <c r="T45" s="333">
        <v>344</v>
      </c>
      <c r="U45" s="669">
        <v>344</v>
      </c>
      <c r="V45" s="322">
        <v>61</v>
      </c>
      <c r="W45" s="322">
        <v>61</v>
      </c>
      <c r="X45" s="323">
        <v>1</v>
      </c>
      <c r="Y45" s="328">
        <v>1</v>
      </c>
      <c r="Z45" s="322">
        <v>61</v>
      </c>
      <c r="AA45" s="323">
        <v>1</v>
      </c>
      <c r="AB45" s="237">
        <v>1</v>
      </c>
      <c r="AC45" s="322" t="s">
        <v>56</v>
      </c>
      <c r="AD45" s="329"/>
      <c r="AE45" s="160">
        <v>0</v>
      </c>
      <c r="AF45" s="185" t="s">
        <v>24</v>
      </c>
      <c r="AG45" s="185" t="s">
        <v>24</v>
      </c>
      <c r="AH45" s="131"/>
      <c r="AI45" s="95" t="s">
        <v>24</v>
      </c>
      <c r="AJ45" s="95" t="s">
        <v>24</v>
      </c>
      <c r="AK45" s="95">
        <v>0</v>
      </c>
      <c r="AL45" s="95"/>
    </row>
    <row r="46" spans="2:38" ht="14.6">
      <c r="B46" s="230" t="s">
        <v>240</v>
      </c>
      <c r="C46" s="430"/>
      <c r="D46" s="307" t="s">
        <v>87</v>
      </c>
      <c r="E46" s="308" t="s">
        <v>241</v>
      </c>
      <c r="F46" s="386">
        <v>234.20420000000001</v>
      </c>
      <c r="G46" s="387">
        <v>224.16666666666666</v>
      </c>
      <c r="H46" s="315">
        <v>1.04478</v>
      </c>
      <c r="I46" s="316">
        <v>1</v>
      </c>
      <c r="J46" s="390">
        <v>253.66666666666666</v>
      </c>
      <c r="K46" s="315">
        <v>0.92327999999999999</v>
      </c>
      <c r="L46" s="318">
        <v>0</v>
      </c>
      <c r="M46" s="388">
        <v>232.30198402544727</v>
      </c>
      <c r="N46" s="389">
        <v>231.80141390490061</v>
      </c>
      <c r="O46" s="315">
        <v>1.0021599999999999</v>
      </c>
      <c r="P46" s="222">
        <v>1</v>
      </c>
      <c r="Q46" s="391">
        <v>244.79233226847316</v>
      </c>
      <c r="R46" s="315">
        <v>0.94898000000000005</v>
      </c>
      <c r="S46" s="222">
        <v>0</v>
      </c>
      <c r="T46" s="386">
        <v>231.95884462858692</v>
      </c>
      <c r="U46" s="670">
        <v>245.72674418613983</v>
      </c>
      <c r="V46" s="387">
        <v>230.35539344262295</v>
      </c>
      <c r="W46" s="387">
        <v>227.78689429949347</v>
      </c>
      <c r="X46" s="315">
        <v>1.01128</v>
      </c>
      <c r="Y46" s="320">
        <v>1</v>
      </c>
      <c r="Z46" s="387">
        <v>249.8360655737705</v>
      </c>
      <c r="AA46" s="315">
        <v>0.92203000000000002</v>
      </c>
      <c r="AB46" s="233">
        <v>0</v>
      </c>
      <c r="AC46" s="314" t="s">
        <v>26</v>
      </c>
      <c r="AD46" s="321"/>
      <c r="AE46" s="160">
        <v>2</v>
      </c>
      <c r="AF46" s="185" t="s">
        <v>248</v>
      </c>
      <c r="AG46" s="185" t="s">
        <v>24</v>
      </c>
      <c r="AH46" s="131"/>
      <c r="AI46" s="95" t="s">
        <v>24</v>
      </c>
      <c r="AJ46" s="95" t="s">
        <v>24</v>
      </c>
      <c r="AK46" s="95">
        <v>0</v>
      </c>
      <c r="AL46" s="95"/>
    </row>
    <row r="47" spans="2:38" ht="14.6">
      <c r="B47" s="173" t="s">
        <v>60</v>
      </c>
      <c r="C47" s="426"/>
      <c r="D47" s="201" t="s">
        <v>242</v>
      </c>
      <c r="E47" s="202" t="s">
        <v>24</v>
      </c>
      <c r="F47" s="254"/>
      <c r="G47" s="254"/>
      <c r="H47" s="255"/>
      <c r="I47" s="256"/>
      <c r="J47" s="257"/>
      <c r="K47" s="255"/>
      <c r="L47" s="258"/>
      <c r="M47" s="259"/>
      <c r="N47" s="260"/>
      <c r="O47" s="255"/>
      <c r="P47" s="167"/>
      <c r="Q47" s="256"/>
      <c r="R47" s="255"/>
      <c r="S47" s="167"/>
      <c r="T47" s="254"/>
      <c r="U47" s="261"/>
      <c r="V47" s="254"/>
      <c r="W47" s="254"/>
      <c r="X47" s="255"/>
      <c r="Y47" s="262"/>
      <c r="Z47" s="254"/>
      <c r="AA47" s="255"/>
      <c r="AB47" s="215"/>
      <c r="AC47" s="254" t="s">
        <v>25</v>
      </c>
      <c r="AD47" s="263"/>
      <c r="AE47" s="160">
        <v>2</v>
      </c>
      <c r="AF47" s="94"/>
      <c r="AG47" s="94"/>
      <c r="AH47" s="131"/>
      <c r="AI47" s="95" t="s">
        <v>24</v>
      </c>
      <c r="AJ47" s="95" t="s">
        <v>24</v>
      </c>
      <c r="AK47" s="95">
        <v>0</v>
      </c>
      <c r="AL47" s="95"/>
    </row>
    <row r="48" spans="2:38" ht="14.6">
      <c r="B48" s="230" t="s">
        <v>61</v>
      </c>
      <c r="C48" s="430"/>
      <c r="D48" s="307" t="s">
        <v>243</v>
      </c>
      <c r="E48" s="308" t="s">
        <v>216</v>
      </c>
      <c r="F48" s="330">
        <v>4651.1908289999983</v>
      </c>
      <c r="G48" s="314">
        <v>4684.4737582030102</v>
      </c>
      <c r="H48" s="315">
        <v>0.9929</v>
      </c>
      <c r="I48" s="316">
        <v>1</v>
      </c>
      <c r="J48" s="317">
        <v>5719.8402141675806</v>
      </c>
      <c r="K48" s="315">
        <v>0.81316999999999995</v>
      </c>
      <c r="L48" s="318">
        <v>1</v>
      </c>
      <c r="M48" s="331">
        <v>46761.451975029289</v>
      </c>
      <c r="N48" s="319">
        <v>47189.603545483129</v>
      </c>
      <c r="O48" s="315">
        <v>0.99092999999999998</v>
      </c>
      <c r="P48" s="222">
        <v>1</v>
      </c>
      <c r="Q48" s="316">
        <v>55558.863391155122</v>
      </c>
      <c r="R48" s="315">
        <v>0.84165999999999996</v>
      </c>
      <c r="S48" s="222">
        <v>1</v>
      </c>
      <c r="T48" s="330">
        <v>52184.621148638202</v>
      </c>
      <c r="U48" s="663">
        <v>61551.443255868646</v>
      </c>
      <c r="V48" s="314">
        <v>9173.3052659999921</v>
      </c>
      <c r="W48" s="314">
        <v>9601.4568364537336</v>
      </c>
      <c r="X48" s="315">
        <v>0.95540999999999998</v>
      </c>
      <c r="Y48" s="320">
        <v>1</v>
      </c>
      <c r="Z48" s="314">
        <v>11165.720021083214</v>
      </c>
      <c r="AA48" s="315">
        <v>0.82155999999999996</v>
      </c>
      <c r="AB48" s="233">
        <v>1</v>
      </c>
      <c r="AC48" s="314" t="s">
        <v>26</v>
      </c>
      <c r="AD48" s="321"/>
      <c r="AE48" s="160">
        <v>0</v>
      </c>
      <c r="AF48" s="185" t="s">
        <v>24</v>
      </c>
      <c r="AG48" s="185" t="s">
        <v>24</v>
      </c>
      <c r="AH48" s="131"/>
      <c r="AI48" s="95" t="s">
        <v>24</v>
      </c>
      <c r="AJ48" s="95" t="s">
        <v>24</v>
      </c>
      <c r="AK48" s="95">
        <v>0</v>
      </c>
      <c r="AL48" s="95"/>
    </row>
    <row r="49" spans="2:38" ht="14.6">
      <c r="B49" s="180" t="s">
        <v>62</v>
      </c>
      <c r="C49" s="428"/>
      <c r="D49" s="216" t="s">
        <v>244</v>
      </c>
      <c r="E49" s="217" t="s">
        <v>55</v>
      </c>
      <c r="F49" s="301">
        <v>5.6245896998226904E-3</v>
      </c>
      <c r="G49" s="302">
        <v>5.9999999999999984E-3</v>
      </c>
      <c r="H49" s="274">
        <v>0.93742999999999999</v>
      </c>
      <c r="I49" s="275">
        <v>1</v>
      </c>
      <c r="J49" s="305">
        <v>6.000000000000001E-3</v>
      </c>
      <c r="K49" s="274">
        <v>0.93742999999999999</v>
      </c>
      <c r="L49" s="277">
        <v>1</v>
      </c>
      <c r="M49" s="303">
        <v>5.7660481299569646E-3</v>
      </c>
      <c r="N49" s="304">
        <v>5.817821325587392E-3</v>
      </c>
      <c r="O49" s="274">
        <v>0.99109999999999998</v>
      </c>
      <c r="P49" s="176">
        <v>1</v>
      </c>
      <c r="Q49" s="306">
        <v>6.0000000000000036E-3</v>
      </c>
      <c r="R49" s="274">
        <v>0.96101000000000003</v>
      </c>
      <c r="S49" s="176">
        <v>1</v>
      </c>
      <c r="T49" s="301">
        <v>5.835259138981079E-3</v>
      </c>
      <c r="U49" s="666">
        <v>5.9999999999999984E-3</v>
      </c>
      <c r="V49" s="302">
        <v>5.7445860954614073E-3</v>
      </c>
      <c r="W49" s="302">
        <v>5.9999999999999993E-3</v>
      </c>
      <c r="X49" s="274">
        <v>0.95743</v>
      </c>
      <c r="Y49" s="279">
        <v>1</v>
      </c>
      <c r="Z49" s="302">
        <v>6.000000000000001E-3</v>
      </c>
      <c r="AA49" s="274">
        <v>0.95743</v>
      </c>
      <c r="AB49" s="211">
        <v>1</v>
      </c>
      <c r="AC49" s="273" t="s">
        <v>56</v>
      </c>
      <c r="AD49" s="280"/>
      <c r="AE49" s="160">
        <v>2</v>
      </c>
      <c r="AF49" s="185" t="s">
        <v>24</v>
      </c>
      <c r="AG49" s="185" t="s">
        <v>24</v>
      </c>
      <c r="AH49" s="131"/>
      <c r="AI49" s="95" t="s">
        <v>24</v>
      </c>
      <c r="AJ49" s="95" t="s">
        <v>24</v>
      </c>
      <c r="AK49" s="95">
        <v>0</v>
      </c>
      <c r="AL49" s="95"/>
    </row>
    <row r="50" spans="2:38" ht="14.6">
      <c r="B50" s="173" t="s">
        <v>88</v>
      </c>
      <c r="C50" s="426"/>
      <c r="D50" s="201" t="s">
        <v>245</v>
      </c>
      <c r="E50" s="202" t="s">
        <v>24</v>
      </c>
      <c r="F50" s="381"/>
      <c r="G50" s="381"/>
      <c r="H50" s="255"/>
      <c r="I50" s="256"/>
      <c r="J50" s="382"/>
      <c r="K50" s="255"/>
      <c r="L50" s="258"/>
      <c r="M50" s="383"/>
      <c r="N50" s="384"/>
      <c r="O50" s="255"/>
      <c r="P50" s="167"/>
      <c r="Q50" s="385"/>
      <c r="R50" s="255"/>
      <c r="S50" s="167"/>
      <c r="T50" s="381"/>
      <c r="U50" s="261"/>
      <c r="V50" s="381"/>
      <c r="W50" s="381"/>
      <c r="X50" s="255"/>
      <c r="Y50" s="262"/>
      <c r="Z50" s="381"/>
      <c r="AA50" s="255"/>
      <c r="AB50" s="215"/>
      <c r="AC50" s="254" t="s">
        <v>25</v>
      </c>
      <c r="AD50" s="263"/>
      <c r="AE50" s="160">
        <v>2</v>
      </c>
      <c r="AF50" s="94"/>
      <c r="AG50" s="94"/>
      <c r="AH50" s="131"/>
      <c r="AI50" s="95" t="s">
        <v>24</v>
      </c>
      <c r="AJ50" s="95" t="s">
        <v>24</v>
      </c>
      <c r="AK50" s="95">
        <v>0</v>
      </c>
      <c r="AL50" s="95"/>
    </row>
    <row r="51" spans="2:38" ht="14.6">
      <c r="B51" s="190" t="s">
        <v>246</v>
      </c>
      <c r="C51" s="427"/>
      <c r="D51" s="219" t="s">
        <v>247</v>
      </c>
      <c r="E51" s="220" t="s">
        <v>53</v>
      </c>
      <c r="F51" s="271">
        <v>1044.346</v>
      </c>
      <c r="G51" s="264">
        <v>919.19365745013602</v>
      </c>
      <c r="H51" s="265">
        <v>1.13615</v>
      </c>
      <c r="I51" s="266">
        <v>1</v>
      </c>
      <c r="J51" s="267">
        <v>1102.9504552302301</v>
      </c>
      <c r="K51" s="265">
        <v>0.94686999999999999</v>
      </c>
      <c r="L51" s="268">
        <v>0</v>
      </c>
      <c r="M51" s="272"/>
      <c r="N51" s="269"/>
      <c r="O51" s="265"/>
      <c r="P51" s="181"/>
      <c r="Q51" s="266"/>
      <c r="R51" s="265"/>
      <c r="S51" s="181"/>
      <c r="T51" s="271">
        <v>919.19365745013602</v>
      </c>
      <c r="U51" s="658">
        <v>1102.9504552302301</v>
      </c>
      <c r="V51" s="264"/>
      <c r="W51" s="264"/>
      <c r="X51" s="265"/>
      <c r="Y51" s="270"/>
      <c r="Z51" s="264"/>
      <c r="AA51" s="265"/>
      <c r="AB51" s="208"/>
      <c r="AC51" s="264" t="s">
        <v>26</v>
      </c>
      <c r="AD51" s="253"/>
      <c r="AE51" s="160">
        <v>0</v>
      </c>
      <c r="AF51" s="185" t="s">
        <v>248</v>
      </c>
      <c r="AG51" s="185" t="s">
        <v>24</v>
      </c>
      <c r="AH51" s="131"/>
      <c r="AI51" s="95" t="s">
        <v>24</v>
      </c>
      <c r="AJ51" s="95" t="s">
        <v>24</v>
      </c>
      <c r="AK51" s="95">
        <v>0</v>
      </c>
      <c r="AL51" s="95"/>
    </row>
    <row r="52" spans="2:38" ht="14.6">
      <c r="B52" s="234" t="s">
        <v>249</v>
      </c>
      <c r="C52" s="429"/>
      <c r="D52" s="332" t="s">
        <v>250</v>
      </c>
      <c r="E52" s="309" t="s">
        <v>53</v>
      </c>
      <c r="F52" s="333">
        <v>339.44499999999999</v>
      </c>
      <c r="G52" s="322"/>
      <c r="H52" s="323"/>
      <c r="I52" s="324"/>
      <c r="J52" s="325"/>
      <c r="K52" s="323"/>
      <c r="L52" s="326"/>
      <c r="M52" s="334"/>
      <c r="N52" s="327"/>
      <c r="O52" s="323"/>
      <c r="P52" s="226"/>
      <c r="Q52" s="324"/>
      <c r="R52" s="323"/>
      <c r="S52" s="226"/>
      <c r="T52" s="333"/>
      <c r="U52" s="669"/>
      <c r="V52" s="322"/>
      <c r="W52" s="322"/>
      <c r="X52" s="323"/>
      <c r="Y52" s="328"/>
      <c r="Z52" s="322"/>
      <c r="AA52" s="323"/>
      <c r="AB52" s="237"/>
      <c r="AC52" s="322" t="s">
        <v>56</v>
      </c>
      <c r="AD52" s="329"/>
      <c r="AE52" s="160">
        <v>0</v>
      </c>
      <c r="AF52" s="185" t="s">
        <v>369</v>
      </c>
      <c r="AG52" s="185" t="s">
        <v>24</v>
      </c>
      <c r="AH52" s="131"/>
      <c r="AI52" s="95" t="s">
        <v>24</v>
      </c>
      <c r="AJ52" s="95" t="s">
        <v>24</v>
      </c>
      <c r="AK52" s="95">
        <v>0</v>
      </c>
      <c r="AL52" s="95"/>
    </row>
    <row r="53" spans="2:38" ht="14.6">
      <c r="B53" s="190" t="s">
        <v>251</v>
      </c>
      <c r="C53" s="427"/>
      <c r="D53" s="219" t="s">
        <v>252</v>
      </c>
      <c r="E53" s="220" t="s">
        <v>53</v>
      </c>
      <c r="F53" s="271">
        <v>638.54200000000003</v>
      </c>
      <c r="G53" s="264"/>
      <c r="H53" s="265"/>
      <c r="I53" s="266"/>
      <c r="J53" s="267"/>
      <c r="K53" s="265"/>
      <c r="L53" s="268"/>
      <c r="M53" s="272"/>
      <c r="N53" s="269"/>
      <c r="O53" s="265"/>
      <c r="P53" s="181"/>
      <c r="Q53" s="266"/>
      <c r="R53" s="265"/>
      <c r="S53" s="181"/>
      <c r="T53" s="271"/>
      <c r="U53" s="658"/>
      <c r="V53" s="264"/>
      <c r="W53" s="264"/>
      <c r="X53" s="265"/>
      <c r="Y53" s="270"/>
      <c r="Z53" s="264"/>
      <c r="AA53" s="265"/>
      <c r="AB53" s="208"/>
      <c r="AC53" s="264" t="s">
        <v>26</v>
      </c>
      <c r="AD53" s="253"/>
      <c r="AE53" s="160">
        <v>0</v>
      </c>
      <c r="AF53" s="185" t="s">
        <v>370</v>
      </c>
      <c r="AG53" s="185" t="s">
        <v>24</v>
      </c>
      <c r="AH53" s="131"/>
      <c r="AI53" s="95" t="s">
        <v>24</v>
      </c>
      <c r="AJ53" s="95" t="s">
        <v>24</v>
      </c>
      <c r="AK53" s="95">
        <v>0</v>
      </c>
      <c r="AL53" s="95"/>
    </row>
    <row r="54" spans="2:38" ht="14.6">
      <c r="B54" s="180" t="s">
        <v>253</v>
      </c>
      <c r="C54" s="428"/>
      <c r="D54" s="216" t="s">
        <v>254</v>
      </c>
      <c r="E54" s="217" t="s">
        <v>53</v>
      </c>
      <c r="F54" s="281">
        <v>66.358999999999995</v>
      </c>
      <c r="G54" s="273"/>
      <c r="H54" s="274"/>
      <c r="I54" s="275"/>
      <c r="J54" s="276"/>
      <c r="K54" s="274"/>
      <c r="L54" s="277"/>
      <c r="M54" s="282"/>
      <c r="N54" s="278"/>
      <c r="O54" s="274"/>
      <c r="P54" s="176"/>
      <c r="Q54" s="275"/>
      <c r="R54" s="274"/>
      <c r="S54" s="176"/>
      <c r="T54" s="281"/>
      <c r="U54" s="660"/>
      <c r="V54" s="273"/>
      <c r="W54" s="273"/>
      <c r="X54" s="274"/>
      <c r="Y54" s="279"/>
      <c r="Z54" s="273"/>
      <c r="AA54" s="274"/>
      <c r="AB54" s="211"/>
      <c r="AC54" s="273" t="s">
        <v>56</v>
      </c>
      <c r="AD54" s="280"/>
      <c r="AE54" s="160">
        <v>0</v>
      </c>
      <c r="AF54" s="185" t="s">
        <v>255</v>
      </c>
      <c r="AG54" s="185" t="s">
        <v>24</v>
      </c>
      <c r="AH54" s="131"/>
      <c r="AI54" s="95" t="s">
        <v>24</v>
      </c>
      <c r="AJ54" s="95" t="s">
        <v>24</v>
      </c>
      <c r="AK54" s="95">
        <v>0</v>
      </c>
      <c r="AL54" s="95"/>
    </row>
    <row r="55" spans="2:38" ht="14.6">
      <c r="B55" s="190" t="s">
        <v>256</v>
      </c>
      <c r="C55" s="427"/>
      <c r="D55" s="219" t="s">
        <v>257</v>
      </c>
      <c r="E55" s="220" t="s">
        <v>55</v>
      </c>
      <c r="F55" s="295">
        <v>0.38669694661123211</v>
      </c>
      <c r="G55" s="296">
        <v>0.39712206914008324</v>
      </c>
      <c r="H55" s="265">
        <v>0.97375</v>
      </c>
      <c r="I55" s="266">
        <v>0.95</v>
      </c>
      <c r="J55" s="299">
        <v>0.37904992952062416</v>
      </c>
      <c r="K55" s="265">
        <v>1.02017</v>
      </c>
      <c r="L55" s="268">
        <v>1</v>
      </c>
      <c r="M55" s="297"/>
      <c r="N55" s="298"/>
      <c r="O55" s="265"/>
      <c r="P55" s="181"/>
      <c r="Q55" s="300"/>
      <c r="R55" s="265"/>
      <c r="S55" s="181"/>
      <c r="T55" s="295">
        <v>0.38201343027396889</v>
      </c>
      <c r="U55" s="671">
        <v>0.3798703864733961</v>
      </c>
      <c r="V55" s="296"/>
      <c r="W55" s="296"/>
      <c r="X55" s="265"/>
      <c r="Y55" s="270"/>
      <c r="Z55" s="296"/>
      <c r="AA55" s="265"/>
      <c r="AB55" s="208"/>
      <c r="AC55" s="264" t="s">
        <v>26</v>
      </c>
      <c r="AD55" s="253"/>
      <c r="AE55" s="160">
        <v>2</v>
      </c>
      <c r="AF55" s="185" t="s">
        <v>24</v>
      </c>
      <c r="AG55" s="185" t="s">
        <v>24</v>
      </c>
      <c r="AH55" s="131"/>
      <c r="AI55" s="95" t="s">
        <v>24</v>
      </c>
      <c r="AJ55" s="95" t="s">
        <v>24</v>
      </c>
      <c r="AK55" s="95">
        <v>0</v>
      </c>
      <c r="AL55" s="95"/>
    </row>
    <row r="56" spans="2:38" ht="14.6">
      <c r="B56" s="180" t="s">
        <v>258</v>
      </c>
      <c r="C56" s="428"/>
      <c r="D56" s="216" t="s">
        <v>259</v>
      </c>
      <c r="E56" s="217" t="s">
        <v>260</v>
      </c>
      <c r="F56" s="281">
        <v>403.8454094056537</v>
      </c>
      <c r="G56" s="273">
        <v>365.03208718703871</v>
      </c>
      <c r="H56" s="274">
        <v>1.10633</v>
      </c>
      <c r="I56" s="275">
        <v>1</v>
      </c>
      <c r="J56" s="276">
        <v>418.07329231975876</v>
      </c>
      <c r="K56" s="274">
        <v>0.96597</v>
      </c>
      <c r="L56" s="277">
        <v>0.95</v>
      </c>
      <c r="M56" s="282"/>
      <c r="N56" s="278"/>
      <c r="O56" s="274"/>
      <c r="P56" s="176"/>
      <c r="Q56" s="275"/>
      <c r="R56" s="274"/>
      <c r="S56" s="176"/>
      <c r="T56" s="281">
        <v>351.14432216860206</v>
      </c>
      <c r="U56" s="660">
        <v>418.97821568931545</v>
      </c>
      <c r="V56" s="273"/>
      <c r="W56" s="273"/>
      <c r="X56" s="274"/>
      <c r="Y56" s="279"/>
      <c r="Z56" s="273"/>
      <c r="AA56" s="274"/>
      <c r="AB56" s="211"/>
      <c r="AC56" s="273" t="s">
        <v>56</v>
      </c>
      <c r="AD56" s="280"/>
      <c r="AE56" s="160">
        <v>0</v>
      </c>
      <c r="AF56" s="185"/>
      <c r="AG56" s="185"/>
      <c r="AH56" s="131"/>
      <c r="AI56" s="95" t="s">
        <v>24</v>
      </c>
      <c r="AJ56" s="95" t="s">
        <v>24</v>
      </c>
      <c r="AK56" s="95">
        <v>0</v>
      </c>
      <c r="AL56" s="95"/>
    </row>
    <row r="57" spans="2:38" ht="14.6">
      <c r="B57" s="230" t="s">
        <v>261</v>
      </c>
      <c r="C57" s="430"/>
      <c r="D57" s="307" t="s">
        <v>262</v>
      </c>
      <c r="E57" s="308" t="s">
        <v>216</v>
      </c>
      <c r="F57" s="330">
        <v>95.0946</v>
      </c>
      <c r="G57" s="314"/>
      <c r="H57" s="315"/>
      <c r="I57" s="316"/>
      <c r="J57" s="317"/>
      <c r="K57" s="315"/>
      <c r="L57" s="318"/>
      <c r="M57" s="331"/>
      <c r="N57" s="319"/>
      <c r="O57" s="315"/>
      <c r="P57" s="222"/>
      <c r="Q57" s="316"/>
      <c r="R57" s="315"/>
      <c r="S57" s="222"/>
      <c r="T57" s="330"/>
      <c r="U57" s="663"/>
      <c r="V57" s="314"/>
      <c r="W57" s="314"/>
      <c r="X57" s="315"/>
      <c r="Y57" s="320"/>
      <c r="Z57" s="314"/>
      <c r="AA57" s="315"/>
      <c r="AB57" s="233"/>
      <c r="AC57" s="314" t="s">
        <v>26</v>
      </c>
      <c r="AD57" s="321"/>
      <c r="AE57" s="160">
        <v>0</v>
      </c>
      <c r="AF57" s="185" t="s">
        <v>24</v>
      </c>
      <c r="AG57" s="185" t="s">
        <v>24</v>
      </c>
      <c r="AH57" s="131"/>
      <c r="AI57" s="95" t="s">
        <v>24</v>
      </c>
      <c r="AJ57" s="95" t="s">
        <v>24</v>
      </c>
      <c r="AK57" s="95">
        <v>0</v>
      </c>
      <c r="AL57" s="95"/>
    </row>
    <row r="58" spans="2:38" ht="14.6">
      <c r="B58" s="234" t="s">
        <v>263</v>
      </c>
      <c r="C58" s="429"/>
      <c r="D58" s="332" t="s">
        <v>264</v>
      </c>
      <c r="E58" s="309" t="s">
        <v>216</v>
      </c>
      <c r="F58" s="333">
        <v>1601.5498</v>
      </c>
      <c r="G58" s="322"/>
      <c r="H58" s="323"/>
      <c r="I58" s="324"/>
      <c r="J58" s="325"/>
      <c r="K58" s="323"/>
      <c r="L58" s="326"/>
      <c r="M58" s="334"/>
      <c r="N58" s="327"/>
      <c r="O58" s="323"/>
      <c r="P58" s="226"/>
      <c r="Q58" s="324"/>
      <c r="R58" s="323"/>
      <c r="S58" s="226"/>
      <c r="T58" s="333"/>
      <c r="U58" s="669"/>
      <c r="V58" s="322"/>
      <c r="W58" s="322"/>
      <c r="X58" s="323"/>
      <c r="Y58" s="328"/>
      <c r="Z58" s="322"/>
      <c r="AA58" s="323"/>
      <c r="AB58" s="237"/>
      <c r="AC58" s="322" t="s">
        <v>56</v>
      </c>
      <c r="AD58" s="329"/>
      <c r="AE58" s="160">
        <v>0</v>
      </c>
      <c r="AF58" s="185" t="s">
        <v>24</v>
      </c>
      <c r="AG58" s="185" t="s">
        <v>24</v>
      </c>
      <c r="AH58" s="131"/>
      <c r="AI58" s="95" t="s">
        <v>24</v>
      </c>
      <c r="AJ58" s="95" t="s">
        <v>24</v>
      </c>
      <c r="AK58" s="95">
        <v>0</v>
      </c>
      <c r="AL58" s="95"/>
    </row>
    <row r="59" spans="2:38" ht="14.6">
      <c r="B59" s="173" t="s">
        <v>65</v>
      </c>
      <c r="C59" s="426"/>
      <c r="D59" s="201" t="s">
        <v>265</v>
      </c>
      <c r="E59" s="202" t="s">
        <v>24</v>
      </c>
      <c r="F59" s="381"/>
      <c r="G59" s="381"/>
      <c r="H59" s="255"/>
      <c r="I59" s="256"/>
      <c r="J59" s="382"/>
      <c r="K59" s="255"/>
      <c r="L59" s="258"/>
      <c r="M59" s="383"/>
      <c r="N59" s="384"/>
      <c r="O59" s="255"/>
      <c r="P59" s="167"/>
      <c r="Q59" s="385"/>
      <c r="R59" s="255"/>
      <c r="S59" s="167"/>
      <c r="T59" s="381"/>
      <c r="U59" s="261"/>
      <c r="V59" s="381"/>
      <c r="W59" s="381"/>
      <c r="X59" s="255"/>
      <c r="Y59" s="262"/>
      <c r="Z59" s="381"/>
      <c r="AA59" s="255"/>
      <c r="AB59" s="215"/>
      <c r="AC59" s="254" t="s">
        <v>25</v>
      </c>
      <c r="AD59" s="263"/>
      <c r="AE59" s="160">
        <v>2</v>
      </c>
      <c r="AF59" s="94"/>
      <c r="AG59" s="94"/>
      <c r="AH59" s="131"/>
      <c r="AI59" s="95" t="s">
        <v>24</v>
      </c>
      <c r="AJ59" s="95" t="s">
        <v>24</v>
      </c>
      <c r="AK59" s="95">
        <v>0</v>
      </c>
      <c r="AL59" s="95"/>
    </row>
    <row r="60" spans="2:38" ht="14.6">
      <c r="B60" s="190" t="s">
        <v>66</v>
      </c>
      <c r="C60" s="427"/>
      <c r="D60" s="219" t="s">
        <v>266</v>
      </c>
      <c r="E60" s="220" t="s">
        <v>55</v>
      </c>
      <c r="F60" s="345">
        <v>0.97557870370437705</v>
      </c>
      <c r="G60" s="346">
        <v>0.98499999999999999</v>
      </c>
      <c r="H60" s="265">
        <v>0.99043999999999999</v>
      </c>
      <c r="I60" s="266">
        <v>0.95</v>
      </c>
      <c r="J60" s="349">
        <v>0.98333333333333295</v>
      </c>
      <c r="K60" s="265">
        <v>0.99211000000000005</v>
      </c>
      <c r="L60" s="268">
        <v>0.95</v>
      </c>
      <c r="M60" s="347">
        <v>0.91667082501663999</v>
      </c>
      <c r="N60" s="348">
        <v>0.91825598802387398</v>
      </c>
      <c r="O60" s="265">
        <v>0.99826999999999999</v>
      </c>
      <c r="P60" s="181">
        <v>0.95</v>
      </c>
      <c r="Q60" s="350">
        <v>0.92203093812375203</v>
      </c>
      <c r="R60" s="265">
        <v>0.99419000000000002</v>
      </c>
      <c r="S60" s="181">
        <v>0.95</v>
      </c>
      <c r="T60" s="345">
        <v>0.92392465753417496</v>
      </c>
      <c r="U60" s="672">
        <v>0.92728310502283096</v>
      </c>
      <c r="V60" s="346">
        <v>0</v>
      </c>
      <c r="W60" s="346">
        <v>0</v>
      </c>
      <c r="X60" s="265">
        <v>1</v>
      </c>
      <c r="Y60" s="270">
        <v>1</v>
      </c>
      <c r="Z60" s="346">
        <v>0</v>
      </c>
      <c r="AA60" s="265">
        <v>1</v>
      </c>
      <c r="AB60" s="208">
        <v>1</v>
      </c>
      <c r="AC60" s="264" t="s">
        <v>26</v>
      </c>
      <c r="AD60" s="253"/>
      <c r="AE60" s="160">
        <v>0</v>
      </c>
      <c r="AF60" s="185" t="s">
        <v>24</v>
      </c>
      <c r="AG60" s="185" t="s">
        <v>24</v>
      </c>
      <c r="AH60" s="131"/>
      <c r="AI60" s="95" t="s">
        <v>24</v>
      </c>
      <c r="AJ60" s="95" t="s">
        <v>24</v>
      </c>
      <c r="AK60" s="95">
        <v>0</v>
      </c>
      <c r="AL60" s="95"/>
    </row>
    <row r="61" spans="2:38" ht="14.6">
      <c r="B61" s="190" t="s">
        <v>267</v>
      </c>
      <c r="C61" s="427"/>
      <c r="D61" s="219" t="s">
        <v>268</v>
      </c>
      <c r="E61" s="220" t="s">
        <v>55</v>
      </c>
      <c r="F61" s="345">
        <v>0.96701862617121392</v>
      </c>
      <c r="G61" s="346">
        <v>0.97499999999999998</v>
      </c>
      <c r="H61" s="265">
        <v>0.99180999999999997</v>
      </c>
      <c r="I61" s="266">
        <v>0.95</v>
      </c>
      <c r="J61" s="349">
        <v>0.98550000000000004</v>
      </c>
      <c r="K61" s="265">
        <v>0.98124999999999996</v>
      </c>
      <c r="L61" s="268">
        <v>0.95</v>
      </c>
      <c r="M61" s="347">
        <v>0.96793473083488502</v>
      </c>
      <c r="N61" s="348">
        <v>0.969140195143392</v>
      </c>
      <c r="O61" s="265">
        <v>0.99875999999999998</v>
      </c>
      <c r="P61" s="181">
        <v>0.95</v>
      </c>
      <c r="Q61" s="350">
        <v>0.98550000000000004</v>
      </c>
      <c r="R61" s="265">
        <v>0.98218000000000005</v>
      </c>
      <c r="S61" s="181">
        <v>0.95</v>
      </c>
      <c r="T61" s="345">
        <v>0.96967077609658203</v>
      </c>
      <c r="U61" s="672">
        <v>0.98550000000000004</v>
      </c>
      <c r="V61" s="346">
        <v>0</v>
      </c>
      <c r="W61" s="346">
        <v>0</v>
      </c>
      <c r="X61" s="265">
        <v>1</v>
      </c>
      <c r="Y61" s="270">
        <v>1</v>
      </c>
      <c r="Z61" s="346">
        <v>0</v>
      </c>
      <c r="AA61" s="265">
        <v>1</v>
      </c>
      <c r="AB61" s="208">
        <v>1</v>
      </c>
      <c r="AC61" s="264" t="s">
        <v>26</v>
      </c>
      <c r="AD61" s="253"/>
      <c r="AE61" s="160">
        <v>0</v>
      </c>
      <c r="AF61" s="185" t="s">
        <v>24</v>
      </c>
      <c r="AG61" s="185" t="s">
        <v>24</v>
      </c>
      <c r="AH61" s="131"/>
      <c r="AI61" s="95" t="s">
        <v>24</v>
      </c>
      <c r="AJ61" s="95" t="s">
        <v>24</v>
      </c>
      <c r="AK61" s="95">
        <v>0</v>
      </c>
      <c r="AL61" s="95"/>
    </row>
    <row r="62" spans="2:38" ht="14.6">
      <c r="B62" s="230" t="s">
        <v>269</v>
      </c>
      <c r="C62" s="430"/>
      <c r="D62" s="307" t="s">
        <v>270</v>
      </c>
      <c r="E62" s="308" t="s">
        <v>55</v>
      </c>
      <c r="F62" s="423">
        <v>0.94340277777810055</v>
      </c>
      <c r="G62" s="419">
        <v>0.96037499999999998</v>
      </c>
      <c r="H62" s="315">
        <v>0.98233000000000004</v>
      </c>
      <c r="I62" s="316">
        <v>0.95</v>
      </c>
      <c r="J62" s="420">
        <v>0.96907499999999958</v>
      </c>
      <c r="K62" s="315">
        <v>0.97350999999999999</v>
      </c>
      <c r="L62" s="318">
        <v>0.95</v>
      </c>
      <c r="M62" s="424">
        <v>0.88727752827667339</v>
      </c>
      <c r="N62" s="421">
        <v>0.88991878742504549</v>
      </c>
      <c r="O62" s="315">
        <v>0.99702999999999997</v>
      </c>
      <c r="P62" s="222">
        <v>0.95</v>
      </c>
      <c r="Q62" s="422">
        <v>0.9086614895209576</v>
      </c>
      <c r="R62" s="315">
        <v>0.97646999999999995</v>
      </c>
      <c r="S62" s="222">
        <v>0.95</v>
      </c>
      <c r="T62" s="423">
        <v>0.89590273972593226</v>
      </c>
      <c r="U62" s="673">
        <v>0.91383749999999997</v>
      </c>
      <c r="V62" s="419">
        <v>0</v>
      </c>
      <c r="W62" s="419">
        <v>0</v>
      </c>
      <c r="X62" s="315">
        <v>1</v>
      </c>
      <c r="Y62" s="320">
        <v>1</v>
      </c>
      <c r="Z62" s="419">
        <v>0</v>
      </c>
      <c r="AA62" s="315">
        <v>1</v>
      </c>
      <c r="AB62" s="233">
        <v>1</v>
      </c>
      <c r="AC62" s="314" t="s">
        <v>26</v>
      </c>
      <c r="AD62" s="321"/>
      <c r="AE62" s="160">
        <v>0</v>
      </c>
      <c r="AF62" s="185"/>
      <c r="AG62" s="185"/>
      <c r="AH62" s="131"/>
      <c r="AI62" s="95" t="s">
        <v>24</v>
      </c>
      <c r="AJ62" s="95" t="s">
        <v>24</v>
      </c>
      <c r="AK62" s="95">
        <v>0</v>
      </c>
      <c r="AL62" s="95"/>
    </row>
    <row r="63" spans="2:38" ht="36">
      <c r="B63" s="190" t="s">
        <v>169</v>
      </c>
      <c r="C63" s="427"/>
      <c r="D63" s="219" t="s">
        <v>271</v>
      </c>
      <c r="E63" s="220" t="s">
        <v>55</v>
      </c>
      <c r="F63" s="345">
        <v>0.46849593496749797</v>
      </c>
      <c r="G63" s="346">
        <v>0.75</v>
      </c>
      <c r="H63" s="265">
        <v>0.62465999999999999</v>
      </c>
      <c r="I63" s="266">
        <v>0</v>
      </c>
      <c r="J63" s="349">
        <v>0.75</v>
      </c>
      <c r="K63" s="265">
        <v>0.62465999999999999</v>
      </c>
      <c r="L63" s="268">
        <v>0</v>
      </c>
      <c r="M63" s="347">
        <v>0.90772604153231695</v>
      </c>
      <c r="N63" s="348">
        <v>0.92263010544465396</v>
      </c>
      <c r="O63" s="265">
        <v>0.98385</v>
      </c>
      <c r="P63" s="181">
        <v>0.95</v>
      </c>
      <c r="Q63" s="350">
        <v>0.948773535808205</v>
      </c>
      <c r="R63" s="265">
        <v>0.95674000000000003</v>
      </c>
      <c r="S63" s="181">
        <v>0.95</v>
      </c>
      <c r="T63" s="345">
        <v>0.92154597200938004</v>
      </c>
      <c r="U63" s="672">
        <v>0.945112337739066</v>
      </c>
      <c r="V63" s="346">
        <v>0</v>
      </c>
      <c r="W63" s="346">
        <v>0</v>
      </c>
      <c r="X63" s="265">
        <v>1</v>
      </c>
      <c r="Y63" s="270">
        <v>1</v>
      </c>
      <c r="Z63" s="346">
        <v>0</v>
      </c>
      <c r="AA63" s="265">
        <v>1</v>
      </c>
      <c r="AB63" s="208">
        <v>1</v>
      </c>
      <c r="AC63" s="264" t="s">
        <v>26</v>
      </c>
      <c r="AD63" s="253"/>
      <c r="AE63" s="160">
        <v>0</v>
      </c>
      <c r="AF63" s="185" t="s">
        <v>371</v>
      </c>
      <c r="AG63" s="185" t="s">
        <v>272</v>
      </c>
      <c r="AH63" s="131"/>
      <c r="AI63" s="95" t="s">
        <v>24</v>
      </c>
      <c r="AJ63" s="95" t="s">
        <v>24</v>
      </c>
      <c r="AK63" s="95">
        <v>0</v>
      </c>
      <c r="AL63" s="95"/>
    </row>
    <row r="64" spans="2:38" ht="14.6">
      <c r="B64" s="190" t="s">
        <v>170</v>
      </c>
      <c r="C64" s="427"/>
      <c r="D64" s="219" t="s">
        <v>273</v>
      </c>
      <c r="E64" s="220" t="s">
        <v>209</v>
      </c>
      <c r="F64" s="289">
        <v>21.987500000015601</v>
      </c>
      <c r="G64" s="290">
        <v>0</v>
      </c>
      <c r="H64" s="265">
        <v>1</v>
      </c>
      <c r="I64" s="266">
        <v>1</v>
      </c>
      <c r="J64" s="293">
        <v>0</v>
      </c>
      <c r="K64" s="265">
        <v>1</v>
      </c>
      <c r="L64" s="268">
        <v>1</v>
      </c>
      <c r="M64" s="291">
        <v>17.758835341364499</v>
      </c>
      <c r="N64" s="292">
        <v>0</v>
      </c>
      <c r="O64" s="265">
        <v>1</v>
      </c>
      <c r="P64" s="181">
        <v>1</v>
      </c>
      <c r="Q64" s="294">
        <v>0</v>
      </c>
      <c r="R64" s="265">
        <v>1</v>
      </c>
      <c r="S64" s="181">
        <v>1</v>
      </c>
      <c r="T64" s="289">
        <v>0</v>
      </c>
      <c r="U64" s="661">
        <v>0</v>
      </c>
      <c r="V64" s="290">
        <v>0</v>
      </c>
      <c r="W64" s="290">
        <v>0</v>
      </c>
      <c r="X64" s="265">
        <v>1</v>
      </c>
      <c r="Y64" s="270">
        <v>1</v>
      </c>
      <c r="Z64" s="290">
        <v>0</v>
      </c>
      <c r="AA64" s="265">
        <v>1</v>
      </c>
      <c r="AB64" s="208">
        <v>1</v>
      </c>
      <c r="AC64" s="264" t="s">
        <v>26</v>
      </c>
      <c r="AD64" s="253"/>
      <c r="AE64" s="160">
        <v>2</v>
      </c>
      <c r="AF64" s="185" t="s">
        <v>24</v>
      </c>
      <c r="AG64" s="185" t="s">
        <v>24</v>
      </c>
      <c r="AH64" s="131"/>
      <c r="AI64" s="95" t="s">
        <v>24</v>
      </c>
      <c r="AJ64" s="95" t="s">
        <v>24</v>
      </c>
      <c r="AK64" s="95">
        <v>0</v>
      </c>
      <c r="AL64" s="95"/>
    </row>
    <row r="65" spans="2:38" ht="14.6">
      <c r="B65" s="190" t="s">
        <v>171</v>
      </c>
      <c r="C65" s="427"/>
      <c r="D65" s="219" t="s">
        <v>274</v>
      </c>
      <c r="E65" s="220" t="s">
        <v>209</v>
      </c>
      <c r="F65" s="289">
        <v>0.29055555554223189</v>
      </c>
      <c r="G65" s="290">
        <v>0</v>
      </c>
      <c r="H65" s="265">
        <v>1</v>
      </c>
      <c r="I65" s="266">
        <v>1</v>
      </c>
      <c r="J65" s="293">
        <v>0</v>
      </c>
      <c r="K65" s="265">
        <v>1</v>
      </c>
      <c r="L65" s="268">
        <v>1</v>
      </c>
      <c r="M65" s="291">
        <v>0.14830016583755701</v>
      </c>
      <c r="N65" s="292">
        <v>0</v>
      </c>
      <c r="O65" s="265">
        <v>1</v>
      </c>
      <c r="P65" s="181">
        <v>1</v>
      </c>
      <c r="Q65" s="294">
        <v>0</v>
      </c>
      <c r="R65" s="265">
        <v>1</v>
      </c>
      <c r="S65" s="181">
        <v>1</v>
      </c>
      <c r="T65" s="289">
        <v>0</v>
      </c>
      <c r="U65" s="661">
        <v>0</v>
      </c>
      <c r="V65" s="290">
        <v>0</v>
      </c>
      <c r="W65" s="290">
        <v>0</v>
      </c>
      <c r="X65" s="265">
        <v>1</v>
      </c>
      <c r="Y65" s="270">
        <v>1</v>
      </c>
      <c r="Z65" s="290">
        <v>0</v>
      </c>
      <c r="AA65" s="265">
        <v>1</v>
      </c>
      <c r="AB65" s="208">
        <v>1</v>
      </c>
      <c r="AC65" s="264" t="s">
        <v>26</v>
      </c>
      <c r="AD65" s="253"/>
      <c r="AE65" s="160">
        <v>2</v>
      </c>
      <c r="AF65" s="185" t="s">
        <v>24</v>
      </c>
      <c r="AG65" s="185" t="s">
        <v>24</v>
      </c>
      <c r="AH65" s="131"/>
      <c r="AI65" s="95" t="s">
        <v>24</v>
      </c>
      <c r="AJ65" s="95" t="s">
        <v>24</v>
      </c>
      <c r="AK65" s="95">
        <v>0</v>
      </c>
      <c r="AL65" s="95"/>
    </row>
    <row r="66" spans="2:38" ht="14.6">
      <c r="B66" s="366" t="s">
        <v>112</v>
      </c>
      <c r="C66" s="432"/>
      <c r="D66" s="367" t="s">
        <v>275</v>
      </c>
      <c r="E66" s="378" t="s">
        <v>55</v>
      </c>
      <c r="F66" s="478">
        <v>0.98</v>
      </c>
      <c r="G66" s="479">
        <v>0.98</v>
      </c>
      <c r="H66" s="369">
        <v>1</v>
      </c>
      <c r="I66" s="370">
        <v>1</v>
      </c>
      <c r="J66" s="482">
        <v>0.98</v>
      </c>
      <c r="K66" s="369">
        <v>1</v>
      </c>
      <c r="L66" s="372">
        <v>1</v>
      </c>
      <c r="M66" s="480">
        <v>0.91906330196749397</v>
      </c>
      <c r="N66" s="481">
        <v>0.91388159075947095</v>
      </c>
      <c r="O66" s="369">
        <v>1.0056700000000001</v>
      </c>
      <c r="P66" s="374">
        <v>1</v>
      </c>
      <c r="Q66" s="483">
        <v>0.91350108225108295</v>
      </c>
      <c r="R66" s="369">
        <v>1.0060899999999999</v>
      </c>
      <c r="S66" s="374">
        <v>1</v>
      </c>
      <c r="T66" s="478">
        <v>0.92388584474885804</v>
      </c>
      <c r="U66" s="674">
        <v>0.92388584474885804</v>
      </c>
      <c r="V66" s="479">
        <v>0</v>
      </c>
      <c r="W66" s="479">
        <v>0</v>
      </c>
      <c r="X66" s="369">
        <v>1</v>
      </c>
      <c r="Y66" s="375">
        <v>1</v>
      </c>
      <c r="Z66" s="479">
        <v>0</v>
      </c>
      <c r="AA66" s="369">
        <v>1</v>
      </c>
      <c r="AB66" s="376">
        <v>1</v>
      </c>
      <c r="AC66" s="368" t="s">
        <v>56</v>
      </c>
      <c r="AD66" s="377">
        <v>4</v>
      </c>
      <c r="AE66" s="160">
        <v>0</v>
      </c>
      <c r="AF66" s="185" t="s">
        <v>24</v>
      </c>
      <c r="AG66" s="185" t="s">
        <v>24</v>
      </c>
      <c r="AH66" s="131"/>
      <c r="AI66" s="95" t="s">
        <v>24</v>
      </c>
      <c r="AJ66" s="95" t="s">
        <v>24</v>
      </c>
      <c r="AK66" s="95">
        <v>0</v>
      </c>
      <c r="AL66" s="95"/>
    </row>
    <row r="67" spans="2:38" ht="14.6">
      <c r="B67" s="180" t="s">
        <v>113</v>
      </c>
      <c r="C67" s="428"/>
      <c r="D67" s="216" t="s">
        <v>276</v>
      </c>
      <c r="E67" s="217" t="s">
        <v>55</v>
      </c>
      <c r="F67" s="407">
        <v>0.51996578393262149</v>
      </c>
      <c r="G67" s="408">
        <v>0.49</v>
      </c>
      <c r="H67" s="274">
        <v>1.06115</v>
      </c>
      <c r="I67" s="275">
        <v>1</v>
      </c>
      <c r="J67" s="411">
        <v>0.49</v>
      </c>
      <c r="K67" s="274">
        <v>1.06115</v>
      </c>
      <c r="L67" s="277">
        <v>1</v>
      </c>
      <c r="M67" s="409">
        <v>0.52260876765157105</v>
      </c>
      <c r="N67" s="410">
        <v>0.51984426778550097</v>
      </c>
      <c r="O67" s="274">
        <v>1.00532</v>
      </c>
      <c r="P67" s="176">
        <v>1</v>
      </c>
      <c r="Q67" s="412">
        <v>0.48689084897360801</v>
      </c>
      <c r="R67" s="274">
        <v>1.0733600000000001</v>
      </c>
      <c r="S67" s="176">
        <v>1</v>
      </c>
      <c r="T67" s="407">
        <v>0.48701309452054797</v>
      </c>
      <c r="U67" s="675">
        <v>0.48701309452054797</v>
      </c>
      <c r="V67" s="408">
        <v>0</v>
      </c>
      <c r="W67" s="408">
        <v>0</v>
      </c>
      <c r="X67" s="274">
        <v>1</v>
      </c>
      <c r="Y67" s="279">
        <v>1</v>
      </c>
      <c r="Z67" s="408">
        <v>0</v>
      </c>
      <c r="AA67" s="274">
        <v>1</v>
      </c>
      <c r="AB67" s="211">
        <v>1</v>
      </c>
      <c r="AC67" s="273" t="s">
        <v>56</v>
      </c>
      <c r="AD67" s="280"/>
      <c r="AE67" s="160">
        <v>0</v>
      </c>
      <c r="AF67" s="185" t="s">
        <v>24</v>
      </c>
      <c r="AG67" s="185" t="s">
        <v>24</v>
      </c>
      <c r="AH67" s="131"/>
      <c r="AI67" s="95" t="s">
        <v>24</v>
      </c>
      <c r="AJ67" s="95" t="s">
        <v>24</v>
      </c>
      <c r="AK67" s="95">
        <v>0</v>
      </c>
      <c r="AL67" s="95"/>
    </row>
    <row r="68" spans="2:38" ht="14.6">
      <c r="B68" s="234" t="s">
        <v>114</v>
      </c>
      <c r="C68" s="429"/>
      <c r="D68" s="332" t="s">
        <v>277</v>
      </c>
      <c r="E68" s="309" t="s">
        <v>55</v>
      </c>
      <c r="F68" s="413">
        <v>0.50956646825396856</v>
      </c>
      <c r="G68" s="414">
        <v>0.48020000000000002</v>
      </c>
      <c r="H68" s="323">
        <v>1.06115</v>
      </c>
      <c r="I68" s="324">
        <v>1</v>
      </c>
      <c r="J68" s="417">
        <v>0.48020000000000002</v>
      </c>
      <c r="K68" s="323">
        <v>1.06115</v>
      </c>
      <c r="L68" s="326">
        <v>1</v>
      </c>
      <c r="M68" s="415">
        <v>0.48031053963501569</v>
      </c>
      <c r="N68" s="416">
        <v>0.47507610639100611</v>
      </c>
      <c r="O68" s="323">
        <v>1.01102</v>
      </c>
      <c r="P68" s="226">
        <v>1</v>
      </c>
      <c r="Q68" s="418">
        <v>0.4447753174755395</v>
      </c>
      <c r="R68" s="323">
        <v>1.07989</v>
      </c>
      <c r="S68" s="226">
        <v>1</v>
      </c>
      <c r="T68" s="413">
        <v>0.44994450423487192</v>
      </c>
      <c r="U68" s="676">
        <v>0.44994450423487192</v>
      </c>
      <c r="V68" s="414">
        <v>0</v>
      </c>
      <c r="W68" s="414">
        <v>0</v>
      </c>
      <c r="X68" s="323">
        <v>1</v>
      </c>
      <c r="Y68" s="328">
        <v>1</v>
      </c>
      <c r="Z68" s="414">
        <v>0</v>
      </c>
      <c r="AA68" s="323">
        <v>1</v>
      </c>
      <c r="AB68" s="237">
        <v>1</v>
      </c>
      <c r="AC68" s="322" t="s">
        <v>56</v>
      </c>
      <c r="AD68" s="329"/>
      <c r="AE68" s="160">
        <v>0</v>
      </c>
      <c r="AF68" s="185"/>
      <c r="AG68" s="185"/>
      <c r="AH68" s="131"/>
      <c r="AI68" s="95" t="s">
        <v>24</v>
      </c>
      <c r="AJ68" s="95" t="s">
        <v>24</v>
      </c>
      <c r="AK68" s="95">
        <v>0</v>
      </c>
      <c r="AL68" s="95"/>
    </row>
    <row r="69" spans="2:38" ht="14.6">
      <c r="B69" s="351" t="s">
        <v>115</v>
      </c>
      <c r="C69" s="431"/>
      <c r="D69" s="352" t="s">
        <v>278</v>
      </c>
      <c r="E69" s="361" t="s">
        <v>55</v>
      </c>
      <c r="F69" s="484">
        <v>0.99408333333333321</v>
      </c>
      <c r="G69" s="485">
        <v>0.98</v>
      </c>
      <c r="H69" s="353">
        <v>1.01437</v>
      </c>
      <c r="I69" s="354">
        <v>1</v>
      </c>
      <c r="J69" s="488">
        <v>0.98</v>
      </c>
      <c r="K69" s="353">
        <v>1.01437</v>
      </c>
      <c r="L69" s="355">
        <v>1</v>
      </c>
      <c r="M69" s="486">
        <v>0.93217634730538901</v>
      </c>
      <c r="N69" s="487">
        <v>0.92438982683982696</v>
      </c>
      <c r="O69" s="353">
        <v>1.0084200000000001</v>
      </c>
      <c r="P69" s="356">
        <v>1</v>
      </c>
      <c r="Q69" s="489">
        <v>0.91350108225108295</v>
      </c>
      <c r="R69" s="353">
        <v>1.02044</v>
      </c>
      <c r="S69" s="356">
        <v>1</v>
      </c>
      <c r="T69" s="484">
        <v>0.92388584474885804</v>
      </c>
      <c r="U69" s="677">
        <v>0.92388584474885804</v>
      </c>
      <c r="V69" s="485">
        <v>0</v>
      </c>
      <c r="W69" s="485">
        <v>0</v>
      </c>
      <c r="X69" s="353">
        <v>1</v>
      </c>
      <c r="Y69" s="357">
        <v>1</v>
      </c>
      <c r="Z69" s="485">
        <v>0</v>
      </c>
      <c r="AA69" s="353">
        <v>1</v>
      </c>
      <c r="AB69" s="358">
        <v>1</v>
      </c>
      <c r="AC69" s="359" t="s">
        <v>26</v>
      </c>
      <c r="AD69" s="360">
        <v>4</v>
      </c>
      <c r="AE69" s="160">
        <v>0</v>
      </c>
      <c r="AF69" s="185" t="s">
        <v>24</v>
      </c>
      <c r="AG69" s="185" t="s">
        <v>24</v>
      </c>
      <c r="AH69" s="131"/>
      <c r="AI69" s="95" t="s">
        <v>24</v>
      </c>
      <c r="AJ69" s="95" t="s">
        <v>24</v>
      </c>
      <c r="AK69" s="95">
        <v>0</v>
      </c>
      <c r="AL69" s="95"/>
    </row>
    <row r="70" spans="2:38" ht="14.6">
      <c r="B70" s="190" t="s">
        <v>116</v>
      </c>
      <c r="C70" s="427"/>
      <c r="D70" s="219" t="s">
        <v>279</v>
      </c>
      <c r="E70" s="220" t="s">
        <v>55</v>
      </c>
      <c r="F70" s="345">
        <v>0.5178536499686639</v>
      </c>
      <c r="G70" s="346">
        <v>0.51200000000000001</v>
      </c>
      <c r="H70" s="265">
        <v>1.0114300000000001</v>
      </c>
      <c r="I70" s="266">
        <v>1</v>
      </c>
      <c r="J70" s="349">
        <v>0.51200000000000001</v>
      </c>
      <c r="K70" s="265">
        <v>1.0114300000000001</v>
      </c>
      <c r="L70" s="268">
        <v>1</v>
      </c>
      <c r="M70" s="347">
        <v>0.54979065964804197</v>
      </c>
      <c r="N70" s="348">
        <v>0.54832625930204404</v>
      </c>
      <c r="O70" s="265">
        <v>1.00267</v>
      </c>
      <c r="P70" s="181">
        <v>1</v>
      </c>
      <c r="Q70" s="350">
        <v>0.511537221925216</v>
      </c>
      <c r="R70" s="265">
        <v>1.0747800000000001</v>
      </c>
      <c r="S70" s="181">
        <v>1</v>
      </c>
      <c r="T70" s="345">
        <v>0.51160949137799006</v>
      </c>
      <c r="U70" s="672">
        <v>0.51160949137799006</v>
      </c>
      <c r="V70" s="346">
        <v>0</v>
      </c>
      <c r="W70" s="346">
        <v>0</v>
      </c>
      <c r="X70" s="265">
        <v>1</v>
      </c>
      <c r="Y70" s="270">
        <v>1</v>
      </c>
      <c r="Z70" s="346">
        <v>0</v>
      </c>
      <c r="AA70" s="265">
        <v>1</v>
      </c>
      <c r="AB70" s="208">
        <v>1</v>
      </c>
      <c r="AC70" s="264" t="s">
        <v>26</v>
      </c>
      <c r="AD70" s="253"/>
      <c r="AE70" s="160">
        <v>0</v>
      </c>
      <c r="AF70" s="185" t="s">
        <v>24</v>
      </c>
      <c r="AG70" s="185" t="s">
        <v>24</v>
      </c>
      <c r="AH70" s="131"/>
      <c r="AI70" s="95" t="s">
        <v>24</v>
      </c>
      <c r="AJ70" s="95" t="s">
        <v>24</v>
      </c>
      <c r="AK70" s="95">
        <v>0</v>
      </c>
      <c r="AL70" s="95"/>
    </row>
    <row r="71" spans="2:38" ht="14.6">
      <c r="B71" s="230" t="s">
        <v>117</v>
      </c>
      <c r="C71" s="430"/>
      <c r="D71" s="307" t="s">
        <v>280</v>
      </c>
      <c r="E71" s="308" t="s">
        <v>55</v>
      </c>
      <c r="F71" s="423">
        <v>0.5147896825396826</v>
      </c>
      <c r="G71" s="419">
        <v>0.50175999999999998</v>
      </c>
      <c r="H71" s="315">
        <v>1.02597</v>
      </c>
      <c r="I71" s="316">
        <v>1</v>
      </c>
      <c r="J71" s="420">
        <v>0.50175999999999998</v>
      </c>
      <c r="K71" s="315">
        <v>1.02597</v>
      </c>
      <c r="L71" s="318">
        <v>1</v>
      </c>
      <c r="M71" s="424">
        <v>0.51250184889333217</v>
      </c>
      <c r="N71" s="421">
        <v>0.50686721588794648</v>
      </c>
      <c r="O71" s="315">
        <v>1.01112</v>
      </c>
      <c r="P71" s="222">
        <v>1</v>
      </c>
      <c r="Q71" s="422">
        <v>0.46728980584039725</v>
      </c>
      <c r="R71" s="315">
        <v>1.0967500000000001</v>
      </c>
      <c r="S71" s="222">
        <v>1</v>
      </c>
      <c r="T71" s="423">
        <v>0.47266876712328793</v>
      </c>
      <c r="U71" s="673">
        <v>0.47266876712328793</v>
      </c>
      <c r="V71" s="419">
        <v>0</v>
      </c>
      <c r="W71" s="419">
        <v>0</v>
      </c>
      <c r="X71" s="315">
        <v>1</v>
      </c>
      <c r="Y71" s="320">
        <v>1</v>
      </c>
      <c r="Z71" s="419">
        <v>0</v>
      </c>
      <c r="AA71" s="315">
        <v>1</v>
      </c>
      <c r="AB71" s="233">
        <v>1</v>
      </c>
      <c r="AC71" s="314" t="s">
        <v>26</v>
      </c>
      <c r="AD71" s="321"/>
      <c r="AE71" s="160">
        <v>0</v>
      </c>
      <c r="AF71" s="185"/>
      <c r="AG71" s="185"/>
      <c r="AH71" s="131"/>
      <c r="AI71" s="95" t="s">
        <v>24</v>
      </c>
      <c r="AJ71" s="95" t="s">
        <v>24</v>
      </c>
      <c r="AK71" s="95">
        <v>0</v>
      </c>
      <c r="AL71" s="95"/>
    </row>
    <row r="72" spans="2:38" ht="14.6" collapsed="1">
      <c r="B72" s="173" t="s">
        <v>118</v>
      </c>
      <c r="C72" s="426"/>
      <c r="D72" s="201" t="s">
        <v>44</v>
      </c>
      <c r="E72" s="202" t="s">
        <v>24</v>
      </c>
      <c r="F72" s="490"/>
      <c r="G72" s="490"/>
      <c r="H72" s="255"/>
      <c r="I72" s="256"/>
      <c r="J72" s="491"/>
      <c r="K72" s="255"/>
      <c r="L72" s="258"/>
      <c r="M72" s="492"/>
      <c r="N72" s="493"/>
      <c r="O72" s="255"/>
      <c r="P72" s="167"/>
      <c r="Q72" s="494"/>
      <c r="R72" s="255"/>
      <c r="S72" s="167"/>
      <c r="T72" s="490"/>
      <c r="U72" s="261"/>
      <c r="V72" s="490"/>
      <c r="W72" s="490"/>
      <c r="X72" s="255"/>
      <c r="Y72" s="262"/>
      <c r="Z72" s="490"/>
      <c r="AA72" s="255"/>
      <c r="AB72" s="215"/>
      <c r="AC72" s="254" t="s">
        <v>25</v>
      </c>
      <c r="AD72" s="263"/>
      <c r="AE72" s="160">
        <v>2</v>
      </c>
      <c r="AF72" s="94"/>
      <c r="AG72" s="94"/>
      <c r="AH72" s="131"/>
      <c r="AI72" s="95" t="s">
        <v>24</v>
      </c>
      <c r="AJ72" s="95" t="s">
        <v>24</v>
      </c>
      <c r="AK72" s="95">
        <v>0</v>
      </c>
      <c r="AL72" s="95"/>
    </row>
    <row r="73" spans="2:38" ht="14.6">
      <c r="B73" s="439" t="s">
        <v>281</v>
      </c>
      <c r="C73" s="459"/>
      <c r="D73" s="440" t="s">
        <v>41</v>
      </c>
      <c r="E73" s="442" t="s">
        <v>119</v>
      </c>
      <c r="F73" s="678">
        <v>-25</v>
      </c>
      <c r="G73" s="679">
        <v>-1</v>
      </c>
      <c r="H73" s="102">
        <v>1</v>
      </c>
      <c r="I73" s="435">
        <v>1</v>
      </c>
      <c r="J73" s="683">
        <v>-1</v>
      </c>
      <c r="K73" s="102">
        <v>1</v>
      </c>
      <c r="L73" s="436">
        <v>1</v>
      </c>
      <c r="M73" s="680"/>
      <c r="N73" s="681"/>
      <c r="O73" s="102"/>
      <c r="P73" s="41"/>
      <c r="Q73" s="684"/>
      <c r="R73" s="102"/>
      <c r="S73" s="41"/>
      <c r="T73" s="678"/>
      <c r="U73" s="682"/>
      <c r="V73" s="679"/>
      <c r="W73" s="679"/>
      <c r="X73" s="102"/>
      <c r="Y73" s="95"/>
      <c r="Z73" s="679"/>
      <c r="AA73" s="102"/>
      <c r="AB73" s="441"/>
      <c r="AC73" s="434" t="s">
        <v>120</v>
      </c>
      <c r="AD73" s="437"/>
      <c r="AE73" s="160">
        <v>2</v>
      </c>
      <c r="AF73" s="185" t="s">
        <v>24</v>
      </c>
      <c r="AG73" s="185" t="s">
        <v>24</v>
      </c>
      <c r="AH73" s="131"/>
      <c r="AI73" s="95" t="s">
        <v>24</v>
      </c>
      <c r="AJ73" s="95" t="s">
        <v>24</v>
      </c>
      <c r="AK73" s="95">
        <v>0</v>
      </c>
      <c r="AL73" s="95"/>
    </row>
    <row r="74" spans="2:38" ht="14.6">
      <c r="B74" s="173" t="s">
        <v>121</v>
      </c>
      <c r="C74" s="426"/>
      <c r="D74" s="201" t="s">
        <v>79</v>
      </c>
      <c r="E74" s="202" t="s">
        <v>24</v>
      </c>
      <c r="F74" s="254"/>
      <c r="G74" s="254"/>
      <c r="H74" s="255"/>
      <c r="I74" s="256"/>
      <c r="J74" s="257"/>
      <c r="K74" s="255"/>
      <c r="L74" s="258"/>
      <c r="M74" s="259"/>
      <c r="N74" s="260"/>
      <c r="O74" s="255"/>
      <c r="P74" s="167"/>
      <c r="Q74" s="256"/>
      <c r="R74" s="255"/>
      <c r="S74" s="167"/>
      <c r="T74" s="254"/>
      <c r="U74" s="261"/>
      <c r="V74" s="254"/>
      <c r="W74" s="254"/>
      <c r="X74" s="255"/>
      <c r="Y74" s="262"/>
      <c r="Z74" s="254"/>
      <c r="AA74" s="255"/>
      <c r="AB74" s="215"/>
      <c r="AC74" s="254" t="s">
        <v>25</v>
      </c>
      <c r="AD74" s="263"/>
      <c r="AE74" s="160">
        <v>2</v>
      </c>
      <c r="AF74" s="94"/>
      <c r="AG74" s="94"/>
      <c r="AH74" s="131"/>
      <c r="AI74" s="95" t="s">
        <v>24</v>
      </c>
      <c r="AJ74" s="95" t="s">
        <v>24</v>
      </c>
      <c r="AK74" s="95">
        <v>0</v>
      </c>
      <c r="AL74" s="95"/>
    </row>
    <row r="75" spans="2:38" ht="14.6">
      <c r="B75" s="190" t="s">
        <v>122</v>
      </c>
      <c r="C75" s="427"/>
      <c r="D75" s="219" t="s">
        <v>282</v>
      </c>
      <c r="E75" s="220" t="s">
        <v>80</v>
      </c>
      <c r="F75" s="271">
        <v>216</v>
      </c>
      <c r="G75" s="264">
        <v>220</v>
      </c>
      <c r="H75" s="265">
        <v>0.98182000000000003</v>
      </c>
      <c r="I75" s="266">
        <v>0.95</v>
      </c>
      <c r="J75" s="267"/>
      <c r="K75" s="265"/>
      <c r="L75" s="268">
        <v>1</v>
      </c>
      <c r="M75" s="272">
        <v>216.1090909090909</v>
      </c>
      <c r="N75" s="269">
        <v>215.27272727272728</v>
      </c>
      <c r="O75" s="265">
        <v>1.0038899999999999</v>
      </c>
      <c r="P75" s="181">
        <v>1</v>
      </c>
      <c r="Q75" s="266"/>
      <c r="R75" s="265">
        <v>1</v>
      </c>
      <c r="S75" s="181">
        <v>1</v>
      </c>
      <c r="T75" s="271">
        <v>215.66666666666666</v>
      </c>
      <c r="U75" s="658"/>
      <c r="V75" s="264">
        <v>216.85714285714286</v>
      </c>
      <c r="W75" s="264">
        <v>220</v>
      </c>
      <c r="X75" s="265">
        <v>0.98570999999999998</v>
      </c>
      <c r="Y75" s="270">
        <v>0.95</v>
      </c>
      <c r="Z75" s="264"/>
      <c r="AA75" s="265">
        <v>1</v>
      </c>
      <c r="AB75" s="208">
        <v>1</v>
      </c>
      <c r="AC75" s="264" t="s">
        <v>26</v>
      </c>
      <c r="AD75" s="253"/>
      <c r="AE75" s="160">
        <v>0</v>
      </c>
      <c r="AF75" s="185" t="s">
        <v>24</v>
      </c>
      <c r="AG75" s="185" t="s">
        <v>24</v>
      </c>
      <c r="AH75" s="131"/>
      <c r="AI75" s="95" t="s">
        <v>24</v>
      </c>
      <c r="AJ75" s="95" t="s">
        <v>24</v>
      </c>
      <c r="AK75" s="95">
        <v>0</v>
      </c>
      <c r="AL75" s="95"/>
    </row>
    <row r="76" spans="2:38" ht="14.6">
      <c r="B76" s="234" t="s">
        <v>172</v>
      </c>
      <c r="C76" s="429"/>
      <c r="D76" s="332" t="s">
        <v>124</v>
      </c>
      <c r="E76" s="309" t="s">
        <v>80</v>
      </c>
      <c r="F76" s="333">
        <v>0</v>
      </c>
      <c r="G76" s="322"/>
      <c r="H76" s="323"/>
      <c r="I76" s="324"/>
      <c r="J76" s="325"/>
      <c r="K76" s="323"/>
      <c r="L76" s="326"/>
      <c r="M76" s="334">
        <v>4</v>
      </c>
      <c r="N76" s="327">
        <v>3</v>
      </c>
      <c r="O76" s="323">
        <v>1.3333300000000001</v>
      </c>
      <c r="P76" s="226"/>
      <c r="Q76" s="324"/>
      <c r="R76" s="323">
        <v>1</v>
      </c>
      <c r="S76" s="226"/>
      <c r="T76" s="333">
        <v>3</v>
      </c>
      <c r="U76" s="669"/>
      <c r="V76" s="322">
        <v>1</v>
      </c>
      <c r="W76" s="322"/>
      <c r="X76" s="323">
        <v>1</v>
      </c>
      <c r="Y76" s="328"/>
      <c r="Z76" s="322"/>
      <c r="AA76" s="323">
        <v>1</v>
      </c>
      <c r="AB76" s="237"/>
      <c r="AC76" s="322" t="s">
        <v>56</v>
      </c>
      <c r="AD76" s="329"/>
      <c r="AE76" s="160">
        <v>0</v>
      </c>
      <c r="AF76" s="185" t="s">
        <v>24</v>
      </c>
      <c r="AG76" s="185" t="s">
        <v>24</v>
      </c>
      <c r="AH76" s="131"/>
      <c r="AI76" s="95" t="s">
        <v>24</v>
      </c>
      <c r="AJ76" s="95" t="s">
        <v>24</v>
      </c>
      <c r="AK76" s="95">
        <v>0</v>
      </c>
      <c r="AL76" s="95"/>
    </row>
    <row r="77" spans="2:38" ht="24">
      <c r="B77" s="230" t="s">
        <v>173</v>
      </c>
      <c r="C77" s="430"/>
      <c r="D77" s="307" t="s">
        <v>126</v>
      </c>
      <c r="E77" s="308" t="s">
        <v>80</v>
      </c>
      <c r="F77" s="330">
        <v>1</v>
      </c>
      <c r="G77" s="314"/>
      <c r="H77" s="315"/>
      <c r="I77" s="316"/>
      <c r="J77" s="317"/>
      <c r="K77" s="315"/>
      <c r="L77" s="318"/>
      <c r="M77" s="331">
        <v>1</v>
      </c>
      <c r="N77" s="319">
        <v>0</v>
      </c>
      <c r="O77" s="315">
        <v>1</v>
      </c>
      <c r="P77" s="222"/>
      <c r="Q77" s="316"/>
      <c r="R77" s="315">
        <v>1</v>
      </c>
      <c r="S77" s="222"/>
      <c r="T77" s="330">
        <v>0</v>
      </c>
      <c r="U77" s="663"/>
      <c r="V77" s="314">
        <v>1</v>
      </c>
      <c r="W77" s="314"/>
      <c r="X77" s="315">
        <v>1</v>
      </c>
      <c r="Y77" s="320"/>
      <c r="Z77" s="314"/>
      <c r="AA77" s="315">
        <v>1</v>
      </c>
      <c r="AB77" s="233"/>
      <c r="AC77" s="314" t="s">
        <v>26</v>
      </c>
      <c r="AD77" s="321"/>
      <c r="AE77" s="160">
        <v>0</v>
      </c>
      <c r="AF77" s="185" t="s">
        <v>372</v>
      </c>
      <c r="AG77" s="185" t="s">
        <v>24</v>
      </c>
      <c r="AH77" s="131"/>
      <c r="AI77" s="95" t="s">
        <v>24</v>
      </c>
      <c r="AJ77" s="95" t="s">
        <v>24</v>
      </c>
      <c r="AK77" s="95">
        <v>0</v>
      </c>
      <c r="AL77" s="95"/>
    </row>
    <row r="78" spans="2:38" ht="14.6">
      <c r="B78" s="234" t="s">
        <v>123</v>
      </c>
      <c r="C78" s="429"/>
      <c r="D78" s="332" t="s">
        <v>128</v>
      </c>
      <c r="E78" s="309" t="s">
        <v>80</v>
      </c>
      <c r="F78" s="333">
        <v>0</v>
      </c>
      <c r="G78" s="322"/>
      <c r="H78" s="323"/>
      <c r="I78" s="324"/>
      <c r="J78" s="325"/>
      <c r="K78" s="323"/>
      <c r="L78" s="326"/>
      <c r="M78" s="334">
        <v>2</v>
      </c>
      <c r="N78" s="327">
        <v>2</v>
      </c>
      <c r="O78" s="323">
        <v>1</v>
      </c>
      <c r="P78" s="226"/>
      <c r="Q78" s="324"/>
      <c r="R78" s="323">
        <v>1</v>
      </c>
      <c r="S78" s="226"/>
      <c r="T78" s="333">
        <v>2</v>
      </c>
      <c r="U78" s="669"/>
      <c r="V78" s="322">
        <v>0</v>
      </c>
      <c r="W78" s="322"/>
      <c r="X78" s="323">
        <v>1</v>
      </c>
      <c r="Y78" s="328"/>
      <c r="Z78" s="322"/>
      <c r="AA78" s="323">
        <v>1</v>
      </c>
      <c r="AB78" s="237"/>
      <c r="AC78" s="322" t="s">
        <v>56</v>
      </c>
      <c r="AD78" s="329"/>
      <c r="AE78" s="160">
        <v>0</v>
      </c>
      <c r="AF78" s="185" t="s">
        <v>24</v>
      </c>
      <c r="AG78" s="185" t="s">
        <v>24</v>
      </c>
      <c r="AH78" s="131"/>
      <c r="AI78" s="95" t="s">
        <v>24</v>
      </c>
      <c r="AJ78" s="95" t="s">
        <v>24</v>
      </c>
      <c r="AK78" s="95">
        <v>0</v>
      </c>
      <c r="AL78" s="95"/>
    </row>
    <row r="79" spans="2:38" ht="14.6" collapsed="1">
      <c r="B79" s="230" t="s">
        <v>125</v>
      </c>
      <c r="C79" s="430"/>
      <c r="D79" s="307" t="s">
        <v>130</v>
      </c>
      <c r="E79" s="308" t="s">
        <v>80</v>
      </c>
      <c r="F79" s="330">
        <v>1</v>
      </c>
      <c r="G79" s="314">
        <v>0</v>
      </c>
      <c r="H79" s="315">
        <v>1</v>
      </c>
      <c r="I79" s="316">
        <v>1</v>
      </c>
      <c r="J79" s="317">
        <v>0</v>
      </c>
      <c r="K79" s="315">
        <v>1</v>
      </c>
      <c r="L79" s="318">
        <v>1</v>
      </c>
      <c r="M79" s="331">
        <v>3</v>
      </c>
      <c r="N79" s="319">
        <v>2</v>
      </c>
      <c r="O79" s="315">
        <v>1.5</v>
      </c>
      <c r="P79" s="222">
        <v>1</v>
      </c>
      <c r="Q79" s="316">
        <v>0</v>
      </c>
      <c r="R79" s="315">
        <v>1</v>
      </c>
      <c r="S79" s="222">
        <v>1</v>
      </c>
      <c r="T79" s="330">
        <v>2</v>
      </c>
      <c r="U79" s="663">
        <v>0</v>
      </c>
      <c r="V79" s="314">
        <v>1</v>
      </c>
      <c r="W79" s="314">
        <v>0</v>
      </c>
      <c r="X79" s="315">
        <v>1</v>
      </c>
      <c r="Y79" s="320">
        <v>1</v>
      </c>
      <c r="Z79" s="314">
        <v>0</v>
      </c>
      <c r="AA79" s="315">
        <v>1</v>
      </c>
      <c r="AB79" s="233">
        <v>1</v>
      </c>
      <c r="AC79" s="314" t="s">
        <v>26</v>
      </c>
      <c r="AD79" s="321"/>
      <c r="AE79" s="160">
        <v>0</v>
      </c>
      <c r="AF79" s="185"/>
      <c r="AG79" s="185"/>
      <c r="AH79" s="131"/>
      <c r="AI79" s="95" t="s">
        <v>24</v>
      </c>
      <c r="AJ79" s="95" t="s">
        <v>24</v>
      </c>
      <c r="AK79" s="95">
        <v>0</v>
      </c>
      <c r="AL79" s="95"/>
    </row>
    <row r="80" spans="2:38" ht="14.6">
      <c r="B80" s="180" t="s">
        <v>127</v>
      </c>
      <c r="C80" s="428"/>
      <c r="D80" s="216" t="s">
        <v>132</v>
      </c>
      <c r="E80" s="217" t="s">
        <v>55</v>
      </c>
      <c r="F80" s="301">
        <v>4.6296296296296294E-3</v>
      </c>
      <c r="G80" s="302">
        <v>0</v>
      </c>
      <c r="H80" s="274">
        <v>1</v>
      </c>
      <c r="I80" s="275">
        <v>1</v>
      </c>
      <c r="J80" s="305">
        <v>0</v>
      </c>
      <c r="K80" s="274">
        <v>1</v>
      </c>
      <c r="L80" s="277">
        <v>1</v>
      </c>
      <c r="M80" s="303">
        <v>1.3881877839475006E-2</v>
      </c>
      <c r="N80" s="304">
        <v>9.2905405405405532E-3</v>
      </c>
      <c r="O80" s="274">
        <v>1.4941900000000001</v>
      </c>
      <c r="P80" s="176">
        <v>1</v>
      </c>
      <c r="Q80" s="306">
        <v>0</v>
      </c>
      <c r="R80" s="274">
        <v>1</v>
      </c>
      <c r="S80" s="176">
        <v>1</v>
      </c>
      <c r="T80" s="301">
        <v>9.2735703245749469E-3</v>
      </c>
      <c r="U80" s="666">
        <v>0</v>
      </c>
      <c r="V80" s="302">
        <v>4.6113306982872165E-3</v>
      </c>
      <c r="W80" s="302">
        <v>0</v>
      </c>
      <c r="X80" s="274">
        <v>1</v>
      </c>
      <c r="Y80" s="279">
        <v>1</v>
      </c>
      <c r="Z80" s="302">
        <v>0</v>
      </c>
      <c r="AA80" s="274">
        <v>1</v>
      </c>
      <c r="AB80" s="211">
        <v>1</v>
      </c>
      <c r="AC80" s="273" t="s">
        <v>56</v>
      </c>
      <c r="AD80" s="280"/>
      <c r="AE80" s="160">
        <v>2</v>
      </c>
      <c r="AF80" s="185"/>
      <c r="AG80" s="185"/>
      <c r="AH80" s="131"/>
      <c r="AI80" s="95" t="s">
        <v>24</v>
      </c>
      <c r="AJ80" s="95" t="s">
        <v>24</v>
      </c>
      <c r="AK80" s="95">
        <v>0</v>
      </c>
      <c r="AL80" s="95"/>
    </row>
    <row r="81" spans="2:38" ht="14.6">
      <c r="B81" s="190" t="s">
        <v>129</v>
      </c>
      <c r="C81" s="427"/>
      <c r="D81" s="219" t="s">
        <v>134</v>
      </c>
      <c r="E81" s="220" t="s">
        <v>55</v>
      </c>
      <c r="F81" s="295">
        <v>-4.6296296296296294E-3</v>
      </c>
      <c r="G81" s="296">
        <v>0</v>
      </c>
      <c r="H81" s="265">
        <v>1</v>
      </c>
      <c r="I81" s="266">
        <v>1</v>
      </c>
      <c r="J81" s="299">
        <v>0</v>
      </c>
      <c r="K81" s="265">
        <v>1</v>
      </c>
      <c r="L81" s="268">
        <v>1</v>
      </c>
      <c r="M81" s="297">
        <v>4.6272926131583356E-3</v>
      </c>
      <c r="N81" s="298">
        <v>4.6452702702702766E-3</v>
      </c>
      <c r="O81" s="265">
        <v>0.99612999999999996</v>
      </c>
      <c r="P81" s="181">
        <v>0.95</v>
      </c>
      <c r="Q81" s="300">
        <v>0</v>
      </c>
      <c r="R81" s="265">
        <v>1</v>
      </c>
      <c r="S81" s="181">
        <v>1</v>
      </c>
      <c r="T81" s="295">
        <v>4.6367851622874734E-3</v>
      </c>
      <c r="U81" s="671">
        <v>0</v>
      </c>
      <c r="V81" s="296">
        <v>0</v>
      </c>
      <c r="W81" s="296">
        <v>0</v>
      </c>
      <c r="X81" s="265">
        <v>1</v>
      </c>
      <c r="Y81" s="270">
        <v>1</v>
      </c>
      <c r="Z81" s="296">
        <v>0</v>
      </c>
      <c r="AA81" s="265">
        <v>1</v>
      </c>
      <c r="AB81" s="208">
        <v>1</v>
      </c>
      <c r="AC81" s="264" t="s">
        <v>26</v>
      </c>
      <c r="AD81" s="253"/>
      <c r="AE81" s="160">
        <v>2</v>
      </c>
      <c r="AF81" s="185"/>
      <c r="AG81" s="185"/>
      <c r="AH81" s="131"/>
      <c r="AI81" s="95" t="s">
        <v>24</v>
      </c>
      <c r="AJ81" s="95" t="s">
        <v>24</v>
      </c>
      <c r="AK81" s="95">
        <v>0</v>
      </c>
      <c r="AL81" s="95"/>
    </row>
    <row r="82" spans="2:38" ht="14.6">
      <c r="B82" s="366" t="s">
        <v>131</v>
      </c>
      <c r="C82" s="432"/>
      <c r="D82" s="367" t="s">
        <v>81</v>
      </c>
      <c r="E82" s="378" t="s">
        <v>80</v>
      </c>
      <c r="F82" s="379">
        <v>130</v>
      </c>
      <c r="G82" s="368">
        <v>0</v>
      </c>
      <c r="H82" s="369">
        <v>1</v>
      </c>
      <c r="I82" s="370">
        <v>1</v>
      </c>
      <c r="J82" s="371">
        <v>0</v>
      </c>
      <c r="K82" s="369">
        <v>1</v>
      </c>
      <c r="L82" s="372">
        <v>1</v>
      </c>
      <c r="M82" s="380"/>
      <c r="N82" s="373"/>
      <c r="O82" s="369"/>
      <c r="P82" s="374"/>
      <c r="Q82" s="370"/>
      <c r="R82" s="369"/>
      <c r="S82" s="374"/>
      <c r="T82" s="379"/>
      <c r="U82" s="685"/>
      <c r="V82" s="368"/>
      <c r="W82" s="368"/>
      <c r="X82" s="369"/>
      <c r="Y82" s="375"/>
      <c r="Z82" s="368"/>
      <c r="AA82" s="369"/>
      <c r="AB82" s="376"/>
      <c r="AC82" s="368" t="s">
        <v>56</v>
      </c>
      <c r="AD82" s="377">
        <v>4</v>
      </c>
      <c r="AE82" s="160">
        <v>0</v>
      </c>
      <c r="AF82" s="185"/>
      <c r="AG82" s="185"/>
      <c r="AH82" s="131"/>
      <c r="AI82" s="95" t="s">
        <v>24</v>
      </c>
      <c r="AJ82" s="95" t="s">
        <v>24</v>
      </c>
      <c r="AK82" s="95">
        <v>0</v>
      </c>
      <c r="AL82" s="95"/>
    </row>
    <row r="83" spans="2:38" ht="14.6">
      <c r="B83" s="190" t="s">
        <v>133</v>
      </c>
      <c r="C83" s="427"/>
      <c r="D83" s="219" t="s">
        <v>283</v>
      </c>
      <c r="E83" s="220" t="s">
        <v>80</v>
      </c>
      <c r="F83" s="271">
        <v>89</v>
      </c>
      <c r="G83" s="264">
        <v>0</v>
      </c>
      <c r="H83" s="265">
        <v>1</v>
      </c>
      <c r="I83" s="266">
        <v>1</v>
      </c>
      <c r="J83" s="267">
        <v>0</v>
      </c>
      <c r="K83" s="265">
        <v>1</v>
      </c>
      <c r="L83" s="268">
        <v>1</v>
      </c>
      <c r="M83" s="272">
        <v>0</v>
      </c>
      <c r="N83" s="269">
        <v>0</v>
      </c>
      <c r="O83" s="265">
        <v>1</v>
      </c>
      <c r="P83" s="181">
        <v>1</v>
      </c>
      <c r="Q83" s="266">
        <v>0</v>
      </c>
      <c r="R83" s="265">
        <v>1</v>
      </c>
      <c r="S83" s="181">
        <v>1</v>
      </c>
      <c r="T83" s="271">
        <v>0</v>
      </c>
      <c r="U83" s="658">
        <v>0</v>
      </c>
      <c r="V83" s="264">
        <v>0</v>
      </c>
      <c r="W83" s="264">
        <v>0</v>
      </c>
      <c r="X83" s="265">
        <v>1</v>
      </c>
      <c r="Y83" s="270">
        <v>1</v>
      </c>
      <c r="Z83" s="264">
        <v>0</v>
      </c>
      <c r="AA83" s="265">
        <v>1</v>
      </c>
      <c r="AB83" s="208">
        <v>1</v>
      </c>
      <c r="AC83" s="264" t="s">
        <v>26</v>
      </c>
      <c r="AD83" s="253"/>
      <c r="AE83" s="160">
        <v>0</v>
      </c>
      <c r="AF83" s="185" t="s">
        <v>24</v>
      </c>
      <c r="AG83" s="185" t="s">
        <v>24</v>
      </c>
      <c r="AH83" s="131"/>
      <c r="AI83" s="95" t="s">
        <v>24</v>
      </c>
      <c r="AJ83" s="95" t="s">
        <v>24</v>
      </c>
      <c r="AK83" s="95">
        <v>0</v>
      </c>
      <c r="AL83" s="95"/>
    </row>
    <row r="84" spans="2:38" ht="14.6">
      <c r="B84" s="180" t="s">
        <v>135</v>
      </c>
      <c r="C84" s="428"/>
      <c r="D84" s="216" t="s">
        <v>284</v>
      </c>
      <c r="E84" s="217" t="s">
        <v>80</v>
      </c>
      <c r="F84" s="281">
        <v>41</v>
      </c>
      <c r="G84" s="273">
        <v>0</v>
      </c>
      <c r="H84" s="274">
        <v>1</v>
      </c>
      <c r="I84" s="275">
        <v>1</v>
      </c>
      <c r="J84" s="276">
        <v>0</v>
      </c>
      <c r="K84" s="274">
        <v>1</v>
      </c>
      <c r="L84" s="277">
        <v>1</v>
      </c>
      <c r="M84" s="282">
        <v>0</v>
      </c>
      <c r="N84" s="278">
        <v>0</v>
      </c>
      <c r="O84" s="274">
        <v>1</v>
      </c>
      <c r="P84" s="176">
        <v>1</v>
      </c>
      <c r="Q84" s="275">
        <v>0</v>
      </c>
      <c r="R84" s="274">
        <v>1</v>
      </c>
      <c r="S84" s="176">
        <v>1</v>
      </c>
      <c r="T84" s="281">
        <v>0</v>
      </c>
      <c r="U84" s="660">
        <v>0</v>
      </c>
      <c r="V84" s="273">
        <v>0</v>
      </c>
      <c r="W84" s="273">
        <v>0</v>
      </c>
      <c r="X84" s="274">
        <v>1</v>
      </c>
      <c r="Y84" s="279">
        <v>1</v>
      </c>
      <c r="Z84" s="273">
        <v>0</v>
      </c>
      <c r="AA84" s="274">
        <v>1</v>
      </c>
      <c r="AB84" s="211">
        <v>1</v>
      </c>
      <c r="AC84" s="273" t="s">
        <v>56</v>
      </c>
      <c r="AD84" s="280"/>
      <c r="AE84" s="160">
        <v>0</v>
      </c>
      <c r="AF84" s="185" t="s">
        <v>24</v>
      </c>
      <c r="AG84" s="185" t="s">
        <v>24</v>
      </c>
      <c r="AH84" s="131"/>
      <c r="AI84" s="95" t="s">
        <v>24</v>
      </c>
      <c r="AJ84" s="95" t="s">
        <v>24</v>
      </c>
      <c r="AK84" s="95">
        <v>0</v>
      </c>
      <c r="AL84" s="95"/>
    </row>
    <row r="85" spans="2:38" ht="14.6">
      <c r="B85" s="190" t="s">
        <v>136</v>
      </c>
      <c r="C85" s="427"/>
      <c r="D85" s="219" t="s">
        <v>137</v>
      </c>
      <c r="E85" s="220" t="s">
        <v>80</v>
      </c>
      <c r="F85" s="271">
        <v>0</v>
      </c>
      <c r="G85" s="264">
        <v>0</v>
      </c>
      <c r="H85" s="265">
        <v>1</v>
      </c>
      <c r="I85" s="266">
        <v>1</v>
      </c>
      <c r="J85" s="267">
        <v>0</v>
      </c>
      <c r="K85" s="265">
        <v>1</v>
      </c>
      <c r="L85" s="268">
        <v>1</v>
      </c>
      <c r="M85" s="272">
        <v>0</v>
      </c>
      <c r="N85" s="269">
        <v>0</v>
      </c>
      <c r="O85" s="265">
        <v>1</v>
      </c>
      <c r="P85" s="181">
        <v>1</v>
      </c>
      <c r="Q85" s="266">
        <v>0</v>
      </c>
      <c r="R85" s="265">
        <v>1</v>
      </c>
      <c r="S85" s="181">
        <v>1</v>
      </c>
      <c r="T85" s="271">
        <v>0</v>
      </c>
      <c r="U85" s="658">
        <v>0</v>
      </c>
      <c r="V85" s="264">
        <v>0</v>
      </c>
      <c r="W85" s="264">
        <v>0</v>
      </c>
      <c r="X85" s="265">
        <v>1</v>
      </c>
      <c r="Y85" s="270">
        <v>1</v>
      </c>
      <c r="Z85" s="264">
        <v>0</v>
      </c>
      <c r="AA85" s="265">
        <v>1</v>
      </c>
      <c r="AB85" s="208">
        <v>1</v>
      </c>
      <c r="AC85" s="264" t="s">
        <v>26</v>
      </c>
      <c r="AD85" s="253"/>
      <c r="AE85" s="160">
        <v>0</v>
      </c>
      <c r="AF85" s="185" t="s">
        <v>24</v>
      </c>
      <c r="AG85" s="185" t="s">
        <v>24</v>
      </c>
      <c r="AH85" s="131"/>
      <c r="AI85" s="95" t="s">
        <v>24</v>
      </c>
      <c r="AJ85" s="95" t="s">
        <v>24</v>
      </c>
      <c r="AK85" s="95">
        <v>0</v>
      </c>
      <c r="AL85" s="95"/>
    </row>
    <row r="86" spans="2:38" ht="14.6">
      <c r="B86" s="180" t="s">
        <v>138</v>
      </c>
      <c r="C86" s="428"/>
      <c r="D86" s="216" t="s">
        <v>139</v>
      </c>
      <c r="E86" s="217" t="s">
        <v>80</v>
      </c>
      <c r="F86" s="281">
        <v>0</v>
      </c>
      <c r="G86" s="273">
        <v>0</v>
      </c>
      <c r="H86" s="274">
        <v>1</v>
      </c>
      <c r="I86" s="275">
        <v>1</v>
      </c>
      <c r="J86" s="276">
        <v>0</v>
      </c>
      <c r="K86" s="274">
        <v>1</v>
      </c>
      <c r="L86" s="277">
        <v>1</v>
      </c>
      <c r="M86" s="282">
        <v>0</v>
      </c>
      <c r="N86" s="278">
        <v>0</v>
      </c>
      <c r="O86" s="274">
        <v>1</v>
      </c>
      <c r="P86" s="176">
        <v>1</v>
      </c>
      <c r="Q86" s="275">
        <v>0</v>
      </c>
      <c r="R86" s="274">
        <v>1</v>
      </c>
      <c r="S86" s="176">
        <v>1</v>
      </c>
      <c r="T86" s="281">
        <v>0</v>
      </c>
      <c r="U86" s="660">
        <v>0</v>
      </c>
      <c r="V86" s="273">
        <v>0</v>
      </c>
      <c r="W86" s="273">
        <v>0</v>
      </c>
      <c r="X86" s="274">
        <v>1</v>
      </c>
      <c r="Y86" s="279">
        <v>1</v>
      </c>
      <c r="Z86" s="273">
        <v>0</v>
      </c>
      <c r="AA86" s="274">
        <v>1</v>
      </c>
      <c r="AB86" s="211">
        <v>1</v>
      </c>
      <c r="AC86" s="273" t="s">
        <v>56</v>
      </c>
      <c r="AD86" s="280"/>
      <c r="AE86" s="160">
        <v>0</v>
      </c>
      <c r="AF86" s="185" t="s">
        <v>24</v>
      </c>
      <c r="AG86" s="185" t="s">
        <v>24</v>
      </c>
      <c r="AH86" s="131"/>
      <c r="AI86" s="95" t="s">
        <v>24</v>
      </c>
      <c r="AJ86" s="95" t="s">
        <v>24</v>
      </c>
      <c r="AK86" s="95">
        <v>0</v>
      </c>
      <c r="AL86" s="95"/>
    </row>
    <row r="87" spans="2:38" ht="14.6">
      <c r="B87" s="190" t="s">
        <v>140</v>
      </c>
      <c r="C87" s="427"/>
      <c r="D87" s="219" t="s">
        <v>141</v>
      </c>
      <c r="E87" s="220" t="s">
        <v>55</v>
      </c>
      <c r="F87" s="295">
        <v>0</v>
      </c>
      <c r="G87" s="296">
        <v>0</v>
      </c>
      <c r="H87" s="265">
        <v>1</v>
      </c>
      <c r="I87" s="266">
        <v>1</v>
      </c>
      <c r="J87" s="299">
        <v>0</v>
      </c>
      <c r="K87" s="265">
        <v>1</v>
      </c>
      <c r="L87" s="268">
        <v>1</v>
      </c>
      <c r="M87" s="297"/>
      <c r="N87" s="298"/>
      <c r="O87" s="265"/>
      <c r="P87" s="181"/>
      <c r="Q87" s="300"/>
      <c r="R87" s="265"/>
      <c r="S87" s="181"/>
      <c r="T87" s="295"/>
      <c r="U87" s="671"/>
      <c r="V87" s="296"/>
      <c r="W87" s="296"/>
      <c r="X87" s="265"/>
      <c r="Y87" s="270"/>
      <c r="Z87" s="296"/>
      <c r="AA87" s="265"/>
      <c r="AB87" s="208"/>
      <c r="AC87" s="264" t="s">
        <v>26</v>
      </c>
      <c r="AD87" s="253"/>
      <c r="AE87" s="160">
        <v>2</v>
      </c>
      <c r="AF87" s="185"/>
      <c r="AG87" s="185"/>
      <c r="AH87" s="131"/>
      <c r="AI87" s="95" t="s">
        <v>24</v>
      </c>
      <c r="AJ87" s="95" t="s">
        <v>24</v>
      </c>
      <c r="AK87" s="95">
        <v>0</v>
      </c>
      <c r="AL87" s="95"/>
    </row>
    <row r="88" spans="2:38" ht="14.6">
      <c r="B88" s="180" t="s">
        <v>142</v>
      </c>
      <c r="C88" s="428"/>
      <c r="D88" s="216" t="s">
        <v>143</v>
      </c>
      <c r="E88" s="217" t="s">
        <v>55</v>
      </c>
      <c r="F88" s="301">
        <v>0</v>
      </c>
      <c r="G88" s="302">
        <v>0</v>
      </c>
      <c r="H88" s="274">
        <v>1</v>
      </c>
      <c r="I88" s="275">
        <v>1</v>
      </c>
      <c r="J88" s="305">
        <v>0</v>
      </c>
      <c r="K88" s="274">
        <v>1</v>
      </c>
      <c r="L88" s="277">
        <v>1</v>
      </c>
      <c r="M88" s="303"/>
      <c r="N88" s="304"/>
      <c r="O88" s="274"/>
      <c r="P88" s="176"/>
      <c r="Q88" s="306"/>
      <c r="R88" s="274"/>
      <c r="S88" s="176"/>
      <c r="T88" s="301"/>
      <c r="U88" s="666"/>
      <c r="V88" s="302"/>
      <c r="W88" s="302"/>
      <c r="X88" s="274"/>
      <c r="Y88" s="279"/>
      <c r="Z88" s="302"/>
      <c r="AA88" s="274"/>
      <c r="AB88" s="211"/>
      <c r="AC88" s="273" t="s">
        <v>56</v>
      </c>
      <c r="AD88" s="280"/>
      <c r="AE88" s="160">
        <v>2</v>
      </c>
      <c r="AF88" s="185"/>
      <c r="AG88" s="185"/>
      <c r="AH88" s="131"/>
      <c r="AI88" s="95" t="s">
        <v>24</v>
      </c>
      <c r="AJ88" s="95" t="s">
        <v>24</v>
      </c>
      <c r="AK88" s="95">
        <v>0</v>
      </c>
      <c r="AL88" s="95"/>
    </row>
    <row r="89" spans="2:38" ht="14.6">
      <c r="B89" s="351" t="s">
        <v>144</v>
      </c>
      <c r="C89" s="431"/>
      <c r="D89" s="352" t="s">
        <v>89</v>
      </c>
      <c r="E89" s="361" t="s">
        <v>80</v>
      </c>
      <c r="F89" s="362">
        <v>0</v>
      </c>
      <c r="G89" s="359"/>
      <c r="H89" s="353"/>
      <c r="I89" s="354">
        <v>1</v>
      </c>
      <c r="J89" s="365"/>
      <c r="K89" s="353"/>
      <c r="L89" s="355">
        <v>1</v>
      </c>
      <c r="M89" s="363">
        <v>1</v>
      </c>
      <c r="N89" s="364">
        <v>1</v>
      </c>
      <c r="O89" s="353">
        <v>1</v>
      </c>
      <c r="P89" s="356">
        <v>1</v>
      </c>
      <c r="Q89" s="354"/>
      <c r="R89" s="353">
        <v>1</v>
      </c>
      <c r="S89" s="356">
        <v>1</v>
      </c>
      <c r="T89" s="362">
        <v>1</v>
      </c>
      <c r="U89" s="665"/>
      <c r="V89" s="359">
        <v>0</v>
      </c>
      <c r="W89" s="359"/>
      <c r="X89" s="353">
        <v>1</v>
      </c>
      <c r="Y89" s="357">
        <v>1</v>
      </c>
      <c r="Z89" s="359"/>
      <c r="AA89" s="353">
        <v>1</v>
      </c>
      <c r="AB89" s="358">
        <v>1</v>
      </c>
      <c r="AC89" s="359" t="s">
        <v>26</v>
      </c>
      <c r="AD89" s="360">
        <v>4</v>
      </c>
      <c r="AE89" s="160">
        <v>0</v>
      </c>
      <c r="AF89" s="185" t="s">
        <v>24</v>
      </c>
      <c r="AG89" s="185" t="s">
        <v>24</v>
      </c>
      <c r="AH89" s="131"/>
      <c r="AI89" s="95" t="s">
        <v>24</v>
      </c>
      <c r="AJ89" s="95" t="s">
        <v>24</v>
      </c>
      <c r="AK89" s="95">
        <v>0</v>
      </c>
      <c r="AL89" s="95"/>
    </row>
    <row r="90" spans="2:38" ht="14.6">
      <c r="B90" s="180" t="s">
        <v>145</v>
      </c>
      <c r="C90" s="428"/>
      <c r="D90" s="216" t="s">
        <v>90</v>
      </c>
      <c r="E90" s="217" t="s">
        <v>91</v>
      </c>
      <c r="F90" s="281">
        <v>0</v>
      </c>
      <c r="G90" s="273"/>
      <c r="H90" s="274"/>
      <c r="I90" s="275">
        <v>1</v>
      </c>
      <c r="J90" s="276"/>
      <c r="K90" s="274"/>
      <c r="L90" s="277">
        <v>1</v>
      </c>
      <c r="M90" s="282">
        <v>1</v>
      </c>
      <c r="N90" s="278">
        <v>1</v>
      </c>
      <c r="O90" s="274">
        <v>1</v>
      </c>
      <c r="P90" s="176">
        <v>1</v>
      </c>
      <c r="Q90" s="275"/>
      <c r="R90" s="274">
        <v>1</v>
      </c>
      <c r="S90" s="176">
        <v>1</v>
      </c>
      <c r="T90" s="281">
        <v>1</v>
      </c>
      <c r="U90" s="660"/>
      <c r="V90" s="273">
        <v>0</v>
      </c>
      <c r="W90" s="273"/>
      <c r="X90" s="274">
        <v>1</v>
      </c>
      <c r="Y90" s="279">
        <v>1</v>
      </c>
      <c r="Z90" s="273"/>
      <c r="AA90" s="274">
        <v>1</v>
      </c>
      <c r="AB90" s="211">
        <v>1</v>
      </c>
      <c r="AC90" s="273" t="s">
        <v>56</v>
      </c>
      <c r="AD90" s="280"/>
      <c r="AE90" s="160">
        <v>0</v>
      </c>
      <c r="AF90" s="185" t="s">
        <v>24</v>
      </c>
      <c r="AG90" s="185" t="s">
        <v>24</v>
      </c>
      <c r="AH90" s="131"/>
      <c r="AI90" s="95" t="s">
        <v>24</v>
      </c>
      <c r="AJ90" s="95" t="s">
        <v>24</v>
      </c>
      <c r="AK90" s="95">
        <v>0</v>
      </c>
      <c r="AL90" s="95"/>
    </row>
    <row r="91" spans="2:38" ht="14.6">
      <c r="B91" s="190" t="s">
        <v>146</v>
      </c>
      <c r="C91" s="427"/>
      <c r="D91" s="219" t="s">
        <v>92</v>
      </c>
      <c r="E91" s="220" t="s">
        <v>80</v>
      </c>
      <c r="F91" s="271">
        <v>0</v>
      </c>
      <c r="G91" s="264"/>
      <c r="H91" s="265"/>
      <c r="I91" s="266">
        <v>1</v>
      </c>
      <c r="J91" s="267"/>
      <c r="K91" s="265"/>
      <c r="L91" s="268">
        <v>1</v>
      </c>
      <c r="M91" s="272">
        <v>9</v>
      </c>
      <c r="N91" s="269">
        <v>2</v>
      </c>
      <c r="O91" s="265">
        <v>4.5</v>
      </c>
      <c r="P91" s="181">
        <v>1</v>
      </c>
      <c r="Q91" s="266"/>
      <c r="R91" s="265">
        <v>1</v>
      </c>
      <c r="S91" s="181">
        <v>1</v>
      </c>
      <c r="T91" s="271">
        <v>2</v>
      </c>
      <c r="U91" s="658"/>
      <c r="V91" s="264">
        <v>7</v>
      </c>
      <c r="W91" s="264"/>
      <c r="X91" s="265">
        <v>1</v>
      </c>
      <c r="Y91" s="270">
        <v>1</v>
      </c>
      <c r="Z91" s="264"/>
      <c r="AA91" s="265">
        <v>1</v>
      </c>
      <c r="AB91" s="208">
        <v>1</v>
      </c>
      <c r="AC91" s="264" t="s">
        <v>26</v>
      </c>
      <c r="AD91" s="253"/>
      <c r="AE91" s="160">
        <v>0</v>
      </c>
      <c r="AF91" s="185" t="s">
        <v>24</v>
      </c>
      <c r="AG91" s="185" t="s">
        <v>24</v>
      </c>
      <c r="AH91" s="131"/>
      <c r="AI91" s="95" t="s">
        <v>24</v>
      </c>
      <c r="AJ91" s="95" t="s">
        <v>24</v>
      </c>
      <c r="AK91" s="95">
        <v>0</v>
      </c>
      <c r="AL91" s="95"/>
    </row>
    <row r="92" spans="2:38" ht="14.6">
      <c r="B92" s="180" t="s">
        <v>147</v>
      </c>
      <c r="C92" s="428"/>
      <c r="D92" s="216" t="s">
        <v>93</v>
      </c>
      <c r="E92" s="217" t="s">
        <v>91</v>
      </c>
      <c r="F92" s="281">
        <v>0</v>
      </c>
      <c r="G92" s="273"/>
      <c r="H92" s="274"/>
      <c r="I92" s="275">
        <v>1</v>
      </c>
      <c r="J92" s="276"/>
      <c r="K92" s="274"/>
      <c r="L92" s="277">
        <v>1</v>
      </c>
      <c r="M92" s="282">
        <v>3</v>
      </c>
      <c r="N92" s="278">
        <v>2</v>
      </c>
      <c r="O92" s="274">
        <v>1.5</v>
      </c>
      <c r="P92" s="176">
        <v>1</v>
      </c>
      <c r="Q92" s="275"/>
      <c r="R92" s="274">
        <v>1</v>
      </c>
      <c r="S92" s="176">
        <v>1</v>
      </c>
      <c r="T92" s="281">
        <v>2</v>
      </c>
      <c r="U92" s="660"/>
      <c r="V92" s="273">
        <v>1</v>
      </c>
      <c r="W92" s="273"/>
      <c r="X92" s="274">
        <v>1</v>
      </c>
      <c r="Y92" s="279">
        <v>1</v>
      </c>
      <c r="Z92" s="273"/>
      <c r="AA92" s="274">
        <v>1</v>
      </c>
      <c r="AB92" s="211">
        <v>1</v>
      </c>
      <c r="AC92" s="273" t="s">
        <v>56</v>
      </c>
      <c r="AD92" s="280"/>
      <c r="AE92" s="160">
        <v>0</v>
      </c>
      <c r="AF92" s="185" t="s">
        <v>24</v>
      </c>
      <c r="AG92" s="185" t="s">
        <v>24</v>
      </c>
      <c r="AH92" s="131"/>
      <c r="AI92" s="95" t="s">
        <v>24</v>
      </c>
      <c r="AJ92" s="95" t="s">
        <v>24</v>
      </c>
      <c r="AK92" s="95">
        <v>0</v>
      </c>
      <c r="AL92" s="95"/>
    </row>
    <row r="93" spans="2:38" ht="14.6">
      <c r="B93" s="230" t="s">
        <v>148</v>
      </c>
      <c r="C93" s="430"/>
      <c r="D93" s="307" t="s">
        <v>94</v>
      </c>
      <c r="E93" s="308" t="s">
        <v>80</v>
      </c>
      <c r="F93" s="330">
        <v>17</v>
      </c>
      <c r="G93" s="314"/>
      <c r="H93" s="315"/>
      <c r="I93" s="316">
        <v>1</v>
      </c>
      <c r="J93" s="317"/>
      <c r="K93" s="315"/>
      <c r="L93" s="318">
        <v>1</v>
      </c>
      <c r="M93" s="331">
        <v>256</v>
      </c>
      <c r="N93" s="319">
        <v>212</v>
      </c>
      <c r="O93" s="315">
        <v>1.2075499999999999</v>
      </c>
      <c r="P93" s="222">
        <v>1</v>
      </c>
      <c r="Q93" s="316"/>
      <c r="R93" s="315">
        <v>1</v>
      </c>
      <c r="S93" s="222">
        <v>1</v>
      </c>
      <c r="T93" s="330">
        <v>212</v>
      </c>
      <c r="U93" s="663"/>
      <c r="V93" s="314">
        <v>44</v>
      </c>
      <c r="W93" s="314"/>
      <c r="X93" s="315">
        <v>1</v>
      </c>
      <c r="Y93" s="320">
        <v>1</v>
      </c>
      <c r="Z93" s="314"/>
      <c r="AA93" s="315">
        <v>1</v>
      </c>
      <c r="AB93" s="233">
        <v>1</v>
      </c>
      <c r="AC93" s="314" t="s">
        <v>26</v>
      </c>
      <c r="AD93" s="321"/>
      <c r="AE93" s="160">
        <v>0</v>
      </c>
      <c r="AF93" s="185" t="s">
        <v>24</v>
      </c>
      <c r="AG93" s="185" t="s">
        <v>24</v>
      </c>
      <c r="AH93" s="131"/>
      <c r="AI93" s="95" t="s">
        <v>24</v>
      </c>
      <c r="AJ93" s="95" t="s">
        <v>24</v>
      </c>
      <c r="AK93" s="95">
        <v>0</v>
      </c>
      <c r="AL93" s="95"/>
    </row>
    <row r="94" spans="2:38" ht="14.6">
      <c r="B94" s="180" t="s">
        <v>149</v>
      </c>
      <c r="C94" s="428"/>
      <c r="D94" s="216" t="s">
        <v>285</v>
      </c>
      <c r="E94" s="217" t="s">
        <v>64</v>
      </c>
      <c r="F94" s="281">
        <v>0</v>
      </c>
      <c r="G94" s="273"/>
      <c r="H94" s="274"/>
      <c r="I94" s="275">
        <v>1</v>
      </c>
      <c r="J94" s="276"/>
      <c r="K94" s="274"/>
      <c r="L94" s="277">
        <v>1</v>
      </c>
      <c r="M94" s="282">
        <v>0</v>
      </c>
      <c r="N94" s="278">
        <v>0</v>
      </c>
      <c r="O94" s="274">
        <v>1</v>
      </c>
      <c r="P94" s="176">
        <v>1</v>
      </c>
      <c r="Q94" s="275"/>
      <c r="R94" s="274">
        <v>1</v>
      </c>
      <c r="S94" s="176">
        <v>1</v>
      </c>
      <c r="T94" s="281">
        <v>0</v>
      </c>
      <c r="U94" s="660"/>
      <c r="V94" s="273">
        <v>0</v>
      </c>
      <c r="W94" s="273"/>
      <c r="X94" s="274">
        <v>1</v>
      </c>
      <c r="Y94" s="279">
        <v>1</v>
      </c>
      <c r="Z94" s="273"/>
      <c r="AA94" s="274">
        <v>1</v>
      </c>
      <c r="AB94" s="211">
        <v>1</v>
      </c>
      <c r="AC94" s="273" t="s">
        <v>56</v>
      </c>
      <c r="AD94" s="280"/>
      <c r="AE94" s="160">
        <v>0</v>
      </c>
      <c r="AF94" s="185" t="s">
        <v>24</v>
      </c>
      <c r="AG94" s="185" t="s">
        <v>24</v>
      </c>
      <c r="AH94" s="131"/>
      <c r="AI94" s="95" t="s">
        <v>24</v>
      </c>
      <c r="AJ94" s="95" t="s">
        <v>24</v>
      </c>
      <c r="AK94" s="95">
        <v>0</v>
      </c>
      <c r="AL94" s="95"/>
    </row>
    <row r="95" spans="2:38" ht="14.6">
      <c r="B95" s="190" t="s">
        <v>150</v>
      </c>
      <c r="C95" s="427"/>
      <c r="D95" s="219" t="s">
        <v>95</v>
      </c>
      <c r="E95" s="220" t="s">
        <v>91</v>
      </c>
      <c r="F95" s="271">
        <v>186</v>
      </c>
      <c r="G95" s="264"/>
      <c r="H95" s="265"/>
      <c r="I95" s="266">
        <v>1</v>
      </c>
      <c r="J95" s="267"/>
      <c r="K95" s="265"/>
      <c r="L95" s="268">
        <v>1</v>
      </c>
      <c r="M95" s="272">
        <v>2489</v>
      </c>
      <c r="N95" s="269">
        <v>2107</v>
      </c>
      <c r="O95" s="265">
        <v>1.1813</v>
      </c>
      <c r="P95" s="181">
        <v>1</v>
      </c>
      <c r="Q95" s="266"/>
      <c r="R95" s="265">
        <v>1</v>
      </c>
      <c r="S95" s="181">
        <v>1</v>
      </c>
      <c r="T95" s="271">
        <v>2107</v>
      </c>
      <c r="U95" s="658"/>
      <c r="V95" s="264">
        <v>382</v>
      </c>
      <c r="W95" s="264"/>
      <c r="X95" s="265">
        <v>1</v>
      </c>
      <c r="Y95" s="270">
        <v>1</v>
      </c>
      <c r="Z95" s="264"/>
      <c r="AA95" s="265">
        <v>1</v>
      </c>
      <c r="AB95" s="208">
        <v>1</v>
      </c>
      <c r="AC95" s="264" t="s">
        <v>26</v>
      </c>
      <c r="AD95" s="253"/>
      <c r="AE95" s="160">
        <v>0</v>
      </c>
      <c r="AF95" s="185" t="s">
        <v>24</v>
      </c>
      <c r="AG95" s="185" t="s">
        <v>24</v>
      </c>
      <c r="AH95" s="131"/>
      <c r="AI95" s="95" t="s">
        <v>24</v>
      </c>
      <c r="AJ95" s="95" t="s">
        <v>24</v>
      </c>
      <c r="AK95" s="95">
        <v>0</v>
      </c>
      <c r="AL95" s="95"/>
    </row>
    <row r="96" spans="2:38" ht="14.6">
      <c r="B96" s="366" t="s">
        <v>151</v>
      </c>
      <c r="C96" s="432"/>
      <c r="D96" s="367" t="s">
        <v>96</v>
      </c>
      <c r="E96" s="378" t="s">
        <v>64</v>
      </c>
      <c r="F96" s="379">
        <v>0</v>
      </c>
      <c r="G96" s="368"/>
      <c r="H96" s="369"/>
      <c r="I96" s="370">
        <v>1</v>
      </c>
      <c r="J96" s="371"/>
      <c r="K96" s="369"/>
      <c r="L96" s="372">
        <v>1</v>
      </c>
      <c r="M96" s="380">
        <v>4</v>
      </c>
      <c r="N96" s="373">
        <v>4</v>
      </c>
      <c r="O96" s="369">
        <v>1</v>
      </c>
      <c r="P96" s="374">
        <v>1</v>
      </c>
      <c r="Q96" s="370"/>
      <c r="R96" s="369">
        <v>1</v>
      </c>
      <c r="S96" s="374">
        <v>1</v>
      </c>
      <c r="T96" s="379">
        <v>4</v>
      </c>
      <c r="U96" s="685"/>
      <c r="V96" s="368">
        <v>0</v>
      </c>
      <c r="W96" s="368"/>
      <c r="X96" s="369">
        <v>1</v>
      </c>
      <c r="Y96" s="375">
        <v>1</v>
      </c>
      <c r="Z96" s="368"/>
      <c r="AA96" s="369">
        <v>1</v>
      </c>
      <c r="AB96" s="376">
        <v>1</v>
      </c>
      <c r="AC96" s="368" t="s">
        <v>56</v>
      </c>
      <c r="AD96" s="377">
        <v>4</v>
      </c>
      <c r="AE96" s="160">
        <v>0</v>
      </c>
      <c r="AF96" s="185" t="s">
        <v>24</v>
      </c>
      <c r="AG96" s="185" t="s">
        <v>24</v>
      </c>
      <c r="AH96" s="131"/>
      <c r="AI96" s="95" t="s">
        <v>24</v>
      </c>
      <c r="AJ96" s="95" t="s">
        <v>24</v>
      </c>
      <c r="AK96" s="95">
        <v>0</v>
      </c>
      <c r="AL96" s="95"/>
    </row>
    <row r="97" spans="2:38" ht="14.6">
      <c r="B97" s="190" t="s">
        <v>152</v>
      </c>
      <c r="C97" s="427"/>
      <c r="D97" s="219" t="s">
        <v>97</v>
      </c>
      <c r="E97" s="220" t="s">
        <v>55</v>
      </c>
      <c r="F97" s="295">
        <v>3.9141414141414102E-2</v>
      </c>
      <c r="G97" s="296"/>
      <c r="H97" s="265"/>
      <c r="I97" s="266">
        <v>1</v>
      </c>
      <c r="J97" s="299"/>
      <c r="K97" s="265"/>
      <c r="L97" s="268">
        <v>1</v>
      </c>
      <c r="M97" s="297">
        <v>4.7996478218408176E-2</v>
      </c>
      <c r="N97" s="298">
        <v>4.9728295537177669E-2</v>
      </c>
      <c r="O97" s="265">
        <v>0.96516999999999997</v>
      </c>
      <c r="P97" s="181">
        <v>0.95</v>
      </c>
      <c r="Q97" s="300"/>
      <c r="R97" s="265">
        <v>1</v>
      </c>
      <c r="S97" s="181">
        <v>1</v>
      </c>
      <c r="T97" s="295">
        <v>4.9728295537177669E-2</v>
      </c>
      <c r="U97" s="671"/>
      <c r="V97" s="296">
        <v>4.0203300283945448E-2</v>
      </c>
      <c r="W97" s="296"/>
      <c r="X97" s="265">
        <v>1</v>
      </c>
      <c r="Y97" s="270">
        <v>1</v>
      </c>
      <c r="Z97" s="296"/>
      <c r="AA97" s="265">
        <v>1</v>
      </c>
      <c r="AB97" s="208">
        <v>1</v>
      </c>
      <c r="AC97" s="264" t="s">
        <v>26</v>
      </c>
      <c r="AD97" s="253"/>
      <c r="AE97" s="160">
        <v>2</v>
      </c>
      <c r="AF97" s="185" t="s">
        <v>24</v>
      </c>
      <c r="AG97" s="185" t="s">
        <v>24</v>
      </c>
      <c r="AH97" s="131"/>
      <c r="AI97" s="95" t="s">
        <v>24</v>
      </c>
      <c r="AJ97" s="95" t="s">
        <v>24</v>
      </c>
      <c r="AK97" s="95">
        <v>0</v>
      </c>
      <c r="AL97" s="95"/>
    </row>
    <row r="98" spans="2:38" ht="14.6">
      <c r="B98" s="234" t="s">
        <v>153</v>
      </c>
      <c r="C98" s="429"/>
      <c r="D98" s="332" t="s">
        <v>98</v>
      </c>
      <c r="E98" s="309" t="s">
        <v>99</v>
      </c>
      <c r="F98" s="333">
        <v>4</v>
      </c>
      <c r="G98" s="322"/>
      <c r="H98" s="323"/>
      <c r="I98" s="324">
        <v>1</v>
      </c>
      <c r="J98" s="325"/>
      <c r="K98" s="323"/>
      <c r="L98" s="326">
        <v>1</v>
      </c>
      <c r="M98" s="334">
        <v>8</v>
      </c>
      <c r="N98" s="327">
        <v>3</v>
      </c>
      <c r="O98" s="323">
        <v>2.6666699999999999</v>
      </c>
      <c r="P98" s="226">
        <v>1</v>
      </c>
      <c r="Q98" s="324"/>
      <c r="R98" s="323">
        <v>1</v>
      </c>
      <c r="S98" s="226">
        <v>1</v>
      </c>
      <c r="T98" s="333">
        <v>3</v>
      </c>
      <c r="U98" s="669"/>
      <c r="V98" s="322">
        <v>5</v>
      </c>
      <c r="W98" s="322"/>
      <c r="X98" s="323">
        <v>1</v>
      </c>
      <c r="Y98" s="328">
        <v>1</v>
      </c>
      <c r="Z98" s="322"/>
      <c r="AA98" s="323">
        <v>1</v>
      </c>
      <c r="AB98" s="237">
        <v>1</v>
      </c>
      <c r="AC98" s="322" t="s">
        <v>56</v>
      </c>
      <c r="AD98" s="329"/>
      <c r="AE98" s="160">
        <v>0</v>
      </c>
      <c r="AF98" s="185" t="s">
        <v>24</v>
      </c>
      <c r="AG98" s="185" t="s">
        <v>24</v>
      </c>
      <c r="AH98" s="131"/>
      <c r="AI98" s="95" t="s">
        <v>24</v>
      </c>
      <c r="AJ98" s="95" t="s">
        <v>24</v>
      </c>
      <c r="AK98" s="95">
        <v>0</v>
      </c>
      <c r="AL98" s="95"/>
    </row>
    <row r="99" spans="2:38" ht="14.6">
      <c r="B99" s="190" t="s">
        <v>154</v>
      </c>
      <c r="C99" s="427"/>
      <c r="D99" s="219" t="s">
        <v>100</v>
      </c>
      <c r="E99" s="220" t="s">
        <v>99</v>
      </c>
      <c r="F99" s="271">
        <v>0</v>
      </c>
      <c r="G99" s="264"/>
      <c r="H99" s="265"/>
      <c r="I99" s="266">
        <v>1</v>
      </c>
      <c r="J99" s="267"/>
      <c r="K99" s="265"/>
      <c r="L99" s="268">
        <v>1</v>
      </c>
      <c r="M99" s="272">
        <v>3</v>
      </c>
      <c r="N99" s="269">
        <v>2</v>
      </c>
      <c r="O99" s="265">
        <v>1.5</v>
      </c>
      <c r="P99" s="181">
        <v>1</v>
      </c>
      <c r="Q99" s="266"/>
      <c r="R99" s="265">
        <v>1</v>
      </c>
      <c r="S99" s="181">
        <v>1</v>
      </c>
      <c r="T99" s="271">
        <v>2</v>
      </c>
      <c r="U99" s="658"/>
      <c r="V99" s="264">
        <v>1</v>
      </c>
      <c r="W99" s="264"/>
      <c r="X99" s="265">
        <v>1</v>
      </c>
      <c r="Y99" s="270">
        <v>1</v>
      </c>
      <c r="Z99" s="264"/>
      <c r="AA99" s="265">
        <v>1</v>
      </c>
      <c r="AB99" s="208">
        <v>1</v>
      </c>
      <c r="AC99" s="264" t="s">
        <v>26</v>
      </c>
      <c r="AD99" s="253"/>
      <c r="AE99" s="160">
        <v>0</v>
      </c>
      <c r="AF99" s="185" t="s">
        <v>24</v>
      </c>
      <c r="AG99" s="185" t="s">
        <v>24</v>
      </c>
      <c r="AH99" s="131"/>
      <c r="AI99" s="95" t="s">
        <v>24</v>
      </c>
      <c r="AJ99" s="95" t="s">
        <v>24</v>
      </c>
      <c r="AK99" s="95">
        <v>0</v>
      </c>
      <c r="AL99" s="95"/>
    </row>
    <row r="100" spans="2:38" ht="14.6">
      <c r="B100" s="180" t="s">
        <v>155</v>
      </c>
      <c r="C100" s="428"/>
      <c r="D100" s="216" t="s">
        <v>286</v>
      </c>
      <c r="E100" s="217" t="s">
        <v>55</v>
      </c>
      <c r="F100" s="407">
        <v>0.73</v>
      </c>
      <c r="G100" s="408"/>
      <c r="H100" s="274"/>
      <c r="I100" s="275">
        <v>1</v>
      </c>
      <c r="J100" s="411"/>
      <c r="K100" s="274"/>
      <c r="L100" s="277">
        <v>1</v>
      </c>
      <c r="M100" s="409">
        <v>0.73</v>
      </c>
      <c r="N100" s="410"/>
      <c r="O100" s="274">
        <v>1</v>
      </c>
      <c r="P100" s="176">
        <v>1</v>
      </c>
      <c r="Q100" s="412"/>
      <c r="R100" s="274">
        <v>1</v>
      </c>
      <c r="S100" s="176">
        <v>1</v>
      </c>
      <c r="T100" s="407"/>
      <c r="U100" s="675"/>
      <c r="V100" s="408">
        <v>0.73</v>
      </c>
      <c r="W100" s="408"/>
      <c r="X100" s="274">
        <v>1</v>
      </c>
      <c r="Y100" s="279">
        <v>1</v>
      </c>
      <c r="Z100" s="408"/>
      <c r="AA100" s="274">
        <v>1</v>
      </c>
      <c r="AB100" s="211">
        <v>1</v>
      </c>
      <c r="AC100" s="273" t="s">
        <v>56</v>
      </c>
      <c r="AD100" s="280"/>
      <c r="AE100" s="160">
        <v>0</v>
      </c>
      <c r="AF100" s="185" t="s">
        <v>24</v>
      </c>
      <c r="AG100" s="185" t="s">
        <v>24</v>
      </c>
      <c r="AH100" s="131"/>
      <c r="AI100" s="95" t="s">
        <v>24</v>
      </c>
      <c r="AJ100" s="95" t="s">
        <v>24</v>
      </c>
      <c r="AK100" s="95">
        <v>0</v>
      </c>
      <c r="AL100" s="95"/>
    </row>
    <row r="101" spans="2:38" ht="14.6">
      <c r="B101" s="230" t="s">
        <v>287</v>
      </c>
      <c r="C101" s="430"/>
      <c r="D101" s="307" t="s">
        <v>288</v>
      </c>
      <c r="E101" s="308" t="s">
        <v>55</v>
      </c>
      <c r="F101" s="423">
        <v>0.6</v>
      </c>
      <c r="G101" s="419"/>
      <c r="H101" s="315"/>
      <c r="I101" s="316">
        <v>1</v>
      </c>
      <c r="J101" s="420"/>
      <c r="K101" s="315"/>
      <c r="L101" s="318">
        <v>1</v>
      </c>
      <c r="M101" s="424">
        <v>0.6</v>
      </c>
      <c r="N101" s="421"/>
      <c r="O101" s="315">
        <v>1</v>
      </c>
      <c r="P101" s="222">
        <v>1</v>
      </c>
      <c r="Q101" s="422"/>
      <c r="R101" s="315">
        <v>1</v>
      </c>
      <c r="S101" s="222">
        <v>1</v>
      </c>
      <c r="T101" s="423"/>
      <c r="U101" s="673"/>
      <c r="V101" s="419">
        <v>0.6</v>
      </c>
      <c r="W101" s="419"/>
      <c r="X101" s="315">
        <v>1</v>
      </c>
      <c r="Y101" s="320">
        <v>1</v>
      </c>
      <c r="Z101" s="419"/>
      <c r="AA101" s="315">
        <v>1</v>
      </c>
      <c r="AB101" s="233">
        <v>1</v>
      </c>
      <c r="AC101" s="314" t="s">
        <v>26</v>
      </c>
      <c r="AD101" s="321"/>
      <c r="AE101" s="160">
        <v>0</v>
      </c>
      <c r="AF101" s="185" t="s">
        <v>24</v>
      </c>
      <c r="AG101" s="185" t="s">
        <v>24</v>
      </c>
      <c r="AH101" s="131"/>
      <c r="AI101" s="95" t="s">
        <v>24</v>
      </c>
      <c r="AJ101" s="95" t="s">
        <v>24</v>
      </c>
      <c r="AK101" s="95">
        <v>0</v>
      </c>
      <c r="AL101" s="95"/>
    </row>
    <row r="102" spans="2:38" ht="14.6">
      <c r="B102" s="173" t="s">
        <v>289</v>
      </c>
      <c r="C102" s="426"/>
      <c r="D102" s="201" t="s">
        <v>290</v>
      </c>
      <c r="E102" s="202" t="s">
        <v>24</v>
      </c>
      <c r="F102" s="254"/>
      <c r="G102" s="254"/>
      <c r="H102" s="255"/>
      <c r="I102" s="256"/>
      <c r="J102" s="257"/>
      <c r="K102" s="255"/>
      <c r="L102" s="258"/>
      <c r="M102" s="259"/>
      <c r="N102" s="260"/>
      <c r="O102" s="255"/>
      <c r="P102" s="167"/>
      <c r="Q102" s="256"/>
      <c r="R102" s="255"/>
      <c r="S102" s="167"/>
      <c r="T102" s="254"/>
      <c r="U102" s="261"/>
      <c r="V102" s="254"/>
      <c r="W102" s="254"/>
      <c r="X102" s="255"/>
      <c r="Y102" s="262"/>
      <c r="Z102" s="254"/>
      <c r="AA102" s="255"/>
      <c r="AB102" s="215"/>
      <c r="AC102" s="254" t="s">
        <v>25</v>
      </c>
      <c r="AD102" s="263"/>
      <c r="AE102" s="160">
        <v>2</v>
      </c>
      <c r="AF102" s="94"/>
      <c r="AG102" s="94"/>
      <c r="AH102" s="131"/>
      <c r="AI102" s="95" t="s">
        <v>24</v>
      </c>
      <c r="AJ102" s="95" t="s">
        <v>24</v>
      </c>
      <c r="AK102" s="95">
        <v>0</v>
      </c>
      <c r="AL102" s="95"/>
    </row>
    <row r="103" spans="2:38" ht="24">
      <c r="B103" s="190" t="s">
        <v>291</v>
      </c>
      <c r="C103" s="427"/>
      <c r="D103" s="219" t="s">
        <v>292</v>
      </c>
      <c r="E103" s="220" t="s">
        <v>213</v>
      </c>
      <c r="F103" s="271">
        <v>39451.163999999997</v>
      </c>
      <c r="G103" s="264">
        <v>39358.283000000003</v>
      </c>
      <c r="H103" s="265">
        <v>1.0023599999999999</v>
      </c>
      <c r="I103" s="266">
        <v>1</v>
      </c>
      <c r="J103" s="267">
        <v>38395.090405654199</v>
      </c>
      <c r="K103" s="265">
        <v>1.0275099999999999</v>
      </c>
      <c r="L103" s="268">
        <v>1</v>
      </c>
      <c r="M103" s="272"/>
      <c r="N103" s="269"/>
      <c r="O103" s="265"/>
      <c r="P103" s="181"/>
      <c r="Q103" s="266"/>
      <c r="R103" s="265"/>
      <c r="S103" s="181"/>
      <c r="T103" s="271"/>
      <c r="U103" s="658"/>
      <c r="V103" s="264"/>
      <c r="W103" s="264"/>
      <c r="X103" s="265"/>
      <c r="Y103" s="270"/>
      <c r="Z103" s="264"/>
      <c r="AA103" s="265"/>
      <c r="AB103" s="208"/>
      <c r="AC103" s="264" t="s">
        <v>26</v>
      </c>
      <c r="AD103" s="253"/>
      <c r="AE103" s="160">
        <v>0</v>
      </c>
      <c r="AF103" s="185" t="s">
        <v>373</v>
      </c>
      <c r="AG103" s="185" t="s">
        <v>24</v>
      </c>
      <c r="AH103" s="131"/>
      <c r="AI103" s="95" t="s">
        <v>24</v>
      </c>
      <c r="AJ103" s="95" t="s">
        <v>24</v>
      </c>
      <c r="AK103" s="95">
        <v>0</v>
      </c>
      <c r="AL103" s="95"/>
    </row>
    <row r="104" spans="2:38" ht="14.6">
      <c r="B104" s="180" t="s">
        <v>293</v>
      </c>
      <c r="C104" s="428"/>
      <c r="D104" s="216" t="s">
        <v>294</v>
      </c>
      <c r="E104" s="217" t="s">
        <v>216</v>
      </c>
      <c r="F104" s="281">
        <v>15024.120824444</v>
      </c>
      <c r="G104" s="273">
        <v>14972.228639204901</v>
      </c>
      <c r="H104" s="274">
        <v>1.0034700000000001</v>
      </c>
      <c r="I104" s="275">
        <v>1</v>
      </c>
      <c r="J104" s="276">
        <v>14227.8629047631</v>
      </c>
      <c r="K104" s="274">
        <v>1.05596</v>
      </c>
      <c r="L104" s="277">
        <v>1</v>
      </c>
      <c r="M104" s="282"/>
      <c r="N104" s="278"/>
      <c r="O104" s="274"/>
      <c r="P104" s="176"/>
      <c r="Q104" s="275"/>
      <c r="R104" s="274"/>
      <c r="S104" s="176"/>
      <c r="T104" s="281"/>
      <c r="U104" s="660"/>
      <c r="V104" s="273"/>
      <c r="W104" s="273"/>
      <c r="X104" s="274"/>
      <c r="Y104" s="279"/>
      <c r="Z104" s="273"/>
      <c r="AA104" s="274"/>
      <c r="AB104" s="211"/>
      <c r="AC104" s="273" t="s">
        <v>56</v>
      </c>
      <c r="AD104" s="280"/>
      <c r="AE104" s="160">
        <v>0</v>
      </c>
      <c r="AF104" s="185" t="s">
        <v>24</v>
      </c>
      <c r="AG104" s="185" t="s">
        <v>24</v>
      </c>
      <c r="AH104" s="131"/>
      <c r="AI104" s="95" t="s">
        <v>24</v>
      </c>
      <c r="AJ104" s="95" t="s">
        <v>24</v>
      </c>
      <c r="AK104" s="95">
        <v>0</v>
      </c>
      <c r="AL104" s="95"/>
    </row>
    <row r="105" spans="2:38" ht="14.6">
      <c r="B105" s="190" t="s">
        <v>295</v>
      </c>
      <c r="C105" s="427"/>
      <c r="D105" s="219" t="s">
        <v>296</v>
      </c>
      <c r="E105" s="220" t="s">
        <v>297</v>
      </c>
      <c r="F105" s="271">
        <v>277.82291666666703</v>
      </c>
      <c r="G105" s="264">
        <v>277.82291666666703</v>
      </c>
      <c r="H105" s="265">
        <v>1</v>
      </c>
      <c r="I105" s="266">
        <v>1</v>
      </c>
      <c r="J105" s="267">
        <v>277.82291666666703</v>
      </c>
      <c r="K105" s="265">
        <v>1</v>
      </c>
      <c r="L105" s="268">
        <v>1</v>
      </c>
      <c r="M105" s="272"/>
      <c r="N105" s="269"/>
      <c r="O105" s="265"/>
      <c r="P105" s="181"/>
      <c r="Q105" s="266"/>
      <c r="R105" s="265"/>
      <c r="S105" s="181"/>
      <c r="T105" s="271"/>
      <c r="U105" s="658"/>
      <c r="V105" s="264"/>
      <c r="W105" s="264"/>
      <c r="X105" s="265"/>
      <c r="Y105" s="270"/>
      <c r="Z105" s="264"/>
      <c r="AA105" s="265"/>
      <c r="AB105" s="208"/>
      <c r="AC105" s="264" t="s">
        <v>26</v>
      </c>
      <c r="AD105" s="253"/>
      <c r="AE105" s="160">
        <v>0</v>
      </c>
      <c r="AF105" s="185" t="s">
        <v>24</v>
      </c>
      <c r="AG105" s="185" t="s">
        <v>24</v>
      </c>
      <c r="AH105" s="131"/>
      <c r="AI105" s="95" t="s">
        <v>24</v>
      </c>
      <c r="AJ105" s="95" t="s">
        <v>24</v>
      </c>
      <c r="AK105" s="95">
        <v>0</v>
      </c>
      <c r="AL105" s="95"/>
    </row>
    <row r="106" spans="2:38" ht="14.6">
      <c r="B106" s="180" t="s">
        <v>298</v>
      </c>
      <c r="C106" s="428"/>
      <c r="D106" s="216" t="s">
        <v>299</v>
      </c>
      <c r="E106" s="217" t="s">
        <v>23</v>
      </c>
      <c r="F106" s="281"/>
      <c r="G106" s="273">
        <v>0</v>
      </c>
      <c r="H106" s="274">
        <v>0</v>
      </c>
      <c r="I106" s="275">
        <v>1</v>
      </c>
      <c r="J106" s="276">
        <v>0</v>
      </c>
      <c r="K106" s="274">
        <v>0</v>
      </c>
      <c r="L106" s="277">
        <v>1</v>
      </c>
      <c r="M106" s="282"/>
      <c r="N106" s="278"/>
      <c r="O106" s="274"/>
      <c r="P106" s="176"/>
      <c r="Q106" s="275"/>
      <c r="R106" s="274"/>
      <c r="S106" s="176"/>
      <c r="T106" s="281"/>
      <c r="U106" s="660"/>
      <c r="V106" s="273"/>
      <c r="W106" s="273"/>
      <c r="X106" s="274"/>
      <c r="Y106" s="279"/>
      <c r="Z106" s="273"/>
      <c r="AA106" s="274"/>
      <c r="AB106" s="211"/>
      <c r="AC106" s="273" t="s">
        <v>56</v>
      </c>
      <c r="AD106" s="280"/>
      <c r="AE106" s="160">
        <v>0</v>
      </c>
      <c r="AF106" s="185" t="s">
        <v>374</v>
      </c>
      <c r="AG106" s="185" t="s">
        <v>24</v>
      </c>
      <c r="AH106" s="131"/>
      <c r="AI106" s="95" t="s">
        <v>24</v>
      </c>
      <c r="AJ106" s="95" t="s">
        <v>24</v>
      </c>
      <c r="AK106" s="95">
        <v>0</v>
      </c>
      <c r="AL106" s="95"/>
    </row>
    <row r="107" spans="2:38" ht="14.6">
      <c r="B107" s="173" t="s">
        <v>24</v>
      </c>
      <c r="C107" s="426"/>
      <c r="D107" s="201" t="s">
        <v>174</v>
      </c>
      <c r="E107" s="202"/>
      <c r="F107" s="254"/>
      <c r="G107" s="254"/>
      <c r="H107" s="255"/>
      <c r="I107" s="256"/>
      <c r="J107" s="257"/>
      <c r="K107" s="255"/>
      <c r="L107" s="258"/>
      <c r="M107" s="259"/>
      <c r="N107" s="260"/>
      <c r="O107" s="255"/>
      <c r="P107" s="167"/>
      <c r="Q107" s="256"/>
      <c r="R107" s="255"/>
      <c r="S107" s="167"/>
      <c r="T107" s="254"/>
      <c r="U107" s="261"/>
      <c r="V107" s="254"/>
      <c r="W107" s="254"/>
      <c r="X107" s="255"/>
      <c r="Y107" s="262"/>
      <c r="Z107" s="254"/>
      <c r="AA107" s="255"/>
      <c r="AB107" s="215"/>
      <c r="AC107" s="254" t="s">
        <v>25</v>
      </c>
      <c r="AD107" s="263"/>
      <c r="AE107" s="160">
        <v>2</v>
      </c>
      <c r="AF107" s="94"/>
      <c r="AG107" s="94"/>
      <c r="AH107" s="131"/>
      <c r="AI107" s="95" t="s">
        <v>24</v>
      </c>
      <c r="AJ107" s="95" t="s">
        <v>24</v>
      </c>
      <c r="AK107" s="95">
        <v>0</v>
      </c>
      <c r="AL107" s="95"/>
    </row>
    <row r="108" spans="2:38" ht="24">
      <c r="B108" s="342" t="s">
        <v>175</v>
      </c>
      <c r="C108" s="425"/>
      <c r="D108" s="343" t="s">
        <v>300</v>
      </c>
      <c r="E108" s="443" t="s">
        <v>55</v>
      </c>
      <c r="F108" s="495">
        <v>0.15354331331042601</v>
      </c>
      <c r="G108" s="444">
        <v>0.26347471152153801</v>
      </c>
      <c r="H108" s="335">
        <v>0.58275999999999994</v>
      </c>
      <c r="I108" s="336">
        <v>0</v>
      </c>
      <c r="J108" s="445">
        <v>0</v>
      </c>
      <c r="K108" s="335">
        <v>1</v>
      </c>
      <c r="L108" s="337">
        <v>1</v>
      </c>
      <c r="M108" s="496">
        <v>0.56206779169197496</v>
      </c>
      <c r="N108" s="446">
        <v>0.78043791604852597</v>
      </c>
      <c r="O108" s="335">
        <v>0.72019999999999995</v>
      </c>
      <c r="P108" s="338">
        <v>0</v>
      </c>
      <c r="Q108" s="447">
        <v>1</v>
      </c>
      <c r="R108" s="335">
        <v>0.56206999999999996</v>
      </c>
      <c r="S108" s="338">
        <v>0</v>
      </c>
      <c r="T108" s="495">
        <v>1</v>
      </c>
      <c r="U108" s="686">
        <v>1</v>
      </c>
      <c r="V108" s="444"/>
      <c r="W108" s="444"/>
      <c r="X108" s="335"/>
      <c r="Y108" s="340"/>
      <c r="Z108" s="444"/>
      <c r="AA108" s="335"/>
      <c r="AB108" s="344"/>
      <c r="AC108" s="339" t="s">
        <v>176</v>
      </c>
      <c r="AD108" s="341"/>
      <c r="AE108" s="160">
        <v>0</v>
      </c>
      <c r="AF108" s="185" t="s">
        <v>375</v>
      </c>
      <c r="AG108" s="185" t="s">
        <v>376</v>
      </c>
      <c r="AH108" s="131"/>
      <c r="AI108" s="95" t="s">
        <v>176</v>
      </c>
      <c r="AJ108" s="95" t="s">
        <v>177</v>
      </c>
      <c r="AK108" s="95">
        <v>0</v>
      </c>
      <c r="AL108" s="95"/>
    </row>
    <row r="109" spans="2:38" ht="14.6">
      <c r="B109" s="439" t="s">
        <v>175</v>
      </c>
      <c r="C109" s="459"/>
      <c r="D109" s="440" t="s">
        <v>302</v>
      </c>
      <c r="E109" s="442" t="s">
        <v>303</v>
      </c>
      <c r="F109" s="501">
        <v>69.931560000000005</v>
      </c>
      <c r="G109" s="448">
        <v>120</v>
      </c>
      <c r="H109" s="102">
        <v>1.7159599999999999</v>
      </c>
      <c r="I109" s="435">
        <v>1</v>
      </c>
      <c r="J109" s="449">
        <v>0</v>
      </c>
      <c r="K109" s="102">
        <v>0</v>
      </c>
      <c r="L109" s="436">
        <v>0</v>
      </c>
      <c r="M109" s="502">
        <v>255.99472</v>
      </c>
      <c r="N109" s="450">
        <v>355.45175999999998</v>
      </c>
      <c r="O109" s="102">
        <v>1.3885100000000001</v>
      </c>
      <c r="P109" s="41">
        <v>1</v>
      </c>
      <c r="Q109" s="451">
        <v>500</v>
      </c>
      <c r="R109" s="102">
        <v>1.9531700000000001</v>
      </c>
      <c r="S109" s="41">
        <v>1</v>
      </c>
      <c r="T109" s="501">
        <v>455.45168000000001</v>
      </c>
      <c r="U109" s="687">
        <v>500</v>
      </c>
      <c r="V109" s="448"/>
      <c r="W109" s="448"/>
      <c r="X109" s="102"/>
      <c r="Y109" s="95"/>
      <c r="Z109" s="448"/>
      <c r="AA109" s="102"/>
      <c r="AB109" s="441"/>
      <c r="AC109" s="434" t="s">
        <v>176</v>
      </c>
      <c r="AD109" s="437"/>
      <c r="AE109" s="160">
        <v>0</v>
      </c>
      <c r="AF109" s="185" t="s">
        <v>24</v>
      </c>
      <c r="AG109" s="185" t="s">
        <v>24</v>
      </c>
      <c r="AH109" s="131"/>
      <c r="AI109" s="95" t="s">
        <v>176</v>
      </c>
      <c r="AJ109" s="95" t="s">
        <v>177</v>
      </c>
      <c r="AK109" s="95">
        <v>0</v>
      </c>
      <c r="AL109" s="95"/>
    </row>
    <row r="110" spans="2:38" ht="14.6">
      <c r="B110" s="342" t="s">
        <v>175</v>
      </c>
      <c r="C110" s="425"/>
      <c r="D110" s="343" t="s">
        <v>304</v>
      </c>
      <c r="E110" s="443" t="s">
        <v>55</v>
      </c>
      <c r="F110" s="495">
        <v>0</v>
      </c>
      <c r="G110" s="444">
        <v>0</v>
      </c>
      <c r="H110" s="335">
        <v>1</v>
      </c>
      <c r="I110" s="336">
        <v>1</v>
      </c>
      <c r="J110" s="445">
        <v>0</v>
      </c>
      <c r="K110" s="335">
        <v>1</v>
      </c>
      <c r="L110" s="337">
        <v>1</v>
      </c>
      <c r="M110" s="496">
        <v>0.84818425154351296</v>
      </c>
      <c r="N110" s="446">
        <v>9.7291541169852204E-3</v>
      </c>
      <c r="O110" s="335">
        <v>87.179649999999995</v>
      </c>
      <c r="P110" s="338">
        <v>1</v>
      </c>
      <c r="Q110" s="447">
        <v>1</v>
      </c>
      <c r="R110" s="335">
        <v>0.84818000000000005</v>
      </c>
      <c r="S110" s="338">
        <v>0</v>
      </c>
      <c r="T110" s="495">
        <v>1</v>
      </c>
      <c r="U110" s="686">
        <v>1</v>
      </c>
      <c r="V110" s="444"/>
      <c r="W110" s="444"/>
      <c r="X110" s="335"/>
      <c r="Y110" s="340"/>
      <c r="Z110" s="444"/>
      <c r="AA110" s="335"/>
      <c r="AB110" s="344"/>
      <c r="AC110" s="339" t="s">
        <v>176</v>
      </c>
      <c r="AD110" s="341"/>
      <c r="AE110" s="160">
        <v>0</v>
      </c>
      <c r="AF110" s="185" t="s">
        <v>357</v>
      </c>
      <c r="AG110" s="185" t="s">
        <v>377</v>
      </c>
      <c r="AH110" s="131"/>
      <c r="AI110" s="95" t="s">
        <v>176</v>
      </c>
      <c r="AJ110" s="95" t="s">
        <v>177</v>
      </c>
      <c r="AK110" s="95">
        <v>0</v>
      </c>
      <c r="AL110" s="95"/>
    </row>
    <row r="111" spans="2:38" ht="14.6" collapsed="1">
      <c r="B111" s="439" t="s">
        <v>175</v>
      </c>
      <c r="C111" s="459"/>
      <c r="D111" s="440" t="s">
        <v>302</v>
      </c>
      <c r="E111" s="442" t="s">
        <v>303</v>
      </c>
      <c r="F111" s="501">
        <v>0</v>
      </c>
      <c r="G111" s="448">
        <v>0</v>
      </c>
      <c r="H111" s="102">
        <v>1</v>
      </c>
      <c r="I111" s="435">
        <v>1</v>
      </c>
      <c r="J111" s="449">
        <v>0</v>
      </c>
      <c r="K111" s="102">
        <v>1</v>
      </c>
      <c r="L111" s="436">
        <v>1</v>
      </c>
      <c r="M111" s="502">
        <v>81.370869999999996</v>
      </c>
      <c r="N111" s="450">
        <v>0.93337000000000003</v>
      </c>
      <c r="O111" s="102">
        <v>1.1469999999999999E-2</v>
      </c>
      <c r="P111" s="41">
        <v>0</v>
      </c>
      <c r="Q111" s="451">
        <v>130</v>
      </c>
      <c r="R111" s="102">
        <v>1.59762</v>
      </c>
      <c r="S111" s="41">
        <v>1</v>
      </c>
      <c r="T111" s="501">
        <v>95.935370000000006</v>
      </c>
      <c r="U111" s="687">
        <v>130</v>
      </c>
      <c r="V111" s="448"/>
      <c r="W111" s="448"/>
      <c r="X111" s="102"/>
      <c r="Y111" s="95"/>
      <c r="Z111" s="448"/>
      <c r="AA111" s="102"/>
      <c r="AB111" s="441"/>
      <c r="AC111" s="434" t="s">
        <v>176</v>
      </c>
      <c r="AD111" s="437"/>
      <c r="AE111" s="160">
        <v>0</v>
      </c>
      <c r="AF111" s="185" t="s">
        <v>24</v>
      </c>
      <c r="AG111" s="185" t="s">
        <v>24</v>
      </c>
      <c r="AH111" s="131"/>
      <c r="AI111" s="95" t="s">
        <v>176</v>
      </c>
      <c r="AJ111" s="95" t="s">
        <v>177</v>
      </c>
      <c r="AK111" s="95">
        <v>0</v>
      </c>
      <c r="AL111" s="95"/>
    </row>
    <row r="112" spans="2:38" ht="24">
      <c r="B112" s="439" t="s">
        <v>175</v>
      </c>
      <c r="C112" s="459"/>
      <c r="D112" s="440" t="s">
        <v>306</v>
      </c>
      <c r="E112" s="442" t="s">
        <v>55</v>
      </c>
      <c r="F112" s="497">
        <v>0.138338292873012</v>
      </c>
      <c r="G112" s="452">
        <v>4.1547622341752001E-2</v>
      </c>
      <c r="H112" s="102">
        <v>3.3296299999999999</v>
      </c>
      <c r="I112" s="435">
        <v>1</v>
      </c>
      <c r="J112" s="453">
        <v>0</v>
      </c>
      <c r="K112" s="102">
        <v>1</v>
      </c>
      <c r="L112" s="436">
        <v>1</v>
      </c>
      <c r="M112" s="498">
        <v>0.98709572397687495</v>
      </c>
      <c r="N112" s="438">
        <v>0.99692265070839103</v>
      </c>
      <c r="O112" s="102">
        <v>0.99014000000000002</v>
      </c>
      <c r="P112" s="41">
        <v>1</v>
      </c>
      <c r="Q112" s="454">
        <v>1</v>
      </c>
      <c r="R112" s="102">
        <v>0.98709999999999998</v>
      </c>
      <c r="S112" s="41">
        <v>1</v>
      </c>
      <c r="T112" s="497">
        <v>1</v>
      </c>
      <c r="U112" s="688">
        <v>1</v>
      </c>
      <c r="V112" s="452"/>
      <c r="W112" s="452"/>
      <c r="X112" s="102"/>
      <c r="Y112" s="95"/>
      <c r="Z112" s="452"/>
      <c r="AA112" s="102"/>
      <c r="AB112" s="441"/>
      <c r="AC112" s="434" t="s">
        <v>176</v>
      </c>
      <c r="AD112" s="437"/>
      <c r="AE112" s="160">
        <v>0</v>
      </c>
      <c r="AF112" s="185" t="s">
        <v>378</v>
      </c>
      <c r="AG112" s="185" t="s">
        <v>24</v>
      </c>
      <c r="AH112" s="131"/>
      <c r="AI112" s="95" t="s">
        <v>176</v>
      </c>
      <c r="AJ112" s="95" t="s">
        <v>177</v>
      </c>
      <c r="AK112" s="95">
        <v>0</v>
      </c>
      <c r="AL112" s="95"/>
    </row>
    <row r="113" spans="2:38" ht="14.6">
      <c r="B113" s="439" t="s">
        <v>175</v>
      </c>
      <c r="C113" s="459"/>
      <c r="D113" s="440" t="s">
        <v>302</v>
      </c>
      <c r="E113" s="442" t="s">
        <v>303</v>
      </c>
      <c r="F113" s="501">
        <v>16.648160000000001</v>
      </c>
      <c r="G113" s="448">
        <v>5</v>
      </c>
      <c r="H113" s="102">
        <v>0.30032999999999999</v>
      </c>
      <c r="I113" s="435">
        <v>0</v>
      </c>
      <c r="J113" s="449">
        <v>0</v>
      </c>
      <c r="K113" s="102">
        <v>0</v>
      </c>
      <c r="L113" s="436">
        <v>0</v>
      </c>
      <c r="M113" s="502">
        <v>118.79088</v>
      </c>
      <c r="N113" s="450">
        <v>119.97349</v>
      </c>
      <c r="O113" s="102">
        <v>1.00996</v>
      </c>
      <c r="P113" s="41">
        <v>1</v>
      </c>
      <c r="Q113" s="451">
        <v>120</v>
      </c>
      <c r="R113" s="102">
        <v>1.0101800000000001</v>
      </c>
      <c r="S113" s="41">
        <v>1</v>
      </c>
      <c r="T113" s="501">
        <v>120.34383</v>
      </c>
      <c r="U113" s="687">
        <v>120</v>
      </c>
      <c r="V113" s="448"/>
      <c r="W113" s="448"/>
      <c r="X113" s="102"/>
      <c r="Y113" s="95"/>
      <c r="Z113" s="448"/>
      <c r="AA113" s="102"/>
      <c r="AB113" s="441"/>
      <c r="AC113" s="434" t="s">
        <v>176</v>
      </c>
      <c r="AD113" s="437"/>
      <c r="AE113" s="160">
        <v>0</v>
      </c>
      <c r="AF113" s="185" t="s">
        <v>24</v>
      </c>
      <c r="AG113" s="185" t="s">
        <v>24</v>
      </c>
      <c r="AH113" s="131"/>
      <c r="AI113" s="95" t="s">
        <v>176</v>
      </c>
      <c r="AJ113" s="95" t="s">
        <v>177</v>
      </c>
      <c r="AK113" s="95">
        <v>0</v>
      </c>
      <c r="AL113" s="95"/>
    </row>
    <row r="114" spans="2:38" ht="14.6">
      <c r="B114" s="342" t="s">
        <v>175</v>
      </c>
      <c r="C114" s="425"/>
      <c r="D114" s="343" t="s">
        <v>308</v>
      </c>
      <c r="E114" s="443" t="s">
        <v>55</v>
      </c>
      <c r="F114" s="495">
        <v>-1.1500725356952E-3</v>
      </c>
      <c r="G114" s="444">
        <v>0.28071089472667698</v>
      </c>
      <c r="H114" s="335">
        <v>-4.1000000000000003E-3</v>
      </c>
      <c r="I114" s="336">
        <v>0</v>
      </c>
      <c r="J114" s="445">
        <v>0</v>
      </c>
      <c r="K114" s="335">
        <v>1</v>
      </c>
      <c r="L114" s="337">
        <v>1</v>
      </c>
      <c r="M114" s="496">
        <v>0.85562926399849104</v>
      </c>
      <c r="N114" s="446">
        <v>1</v>
      </c>
      <c r="O114" s="335">
        <v>0.85563</v>
      </c>
      <c r="P114" s="338">
        <v>0</v>
      </c>
      <c r="Q114" s="447">
        <v>1</v>
      </c>
      <c r="R114" s="335">
        <v>0.85563</v>
      </c>
      <c r="S114" s="338">
        <v>0</v>
      </c>
      <c r="T114" s="495">
        <v>1</v>
      </c>
      <c r="U114" s="686">
        <v>1</v>
      </c>
      <c r="V114" s="444"/>
      <c r="W114" s="444"/>
      <c r="X114" s="335"/>
      <c r="Y114" s="340"/>
      <c r="Z114" s="444"/>
      <c r="AA114" s="335"/>
      <c r="AB114" s="344"/>
      <c r="AC114" s="339" t="s">
        <v>176</v>
      </c>
      <c r="AD114" s="341"/>
      <c r="AE114" s="160">
        <v>0</v>
      </c>
      <c r="AF114" s="185" t="s">
        <v>358</v>
      </c>
      <c r="AG114" s="185" t="s">
        <v>24</v>
      </c>
      <c r="AH114" s="131"/>
      <c r="AI114" s="95" t="s">
        <v>176</v>
      </c>
      <c r="AJ114" s="95" t="s">
        <v>177</v>
      </c>
      <c r="AK114" s="95">
        <v>0</v>
      </c>
      <c r="AL114" s="95"/>
    </row>
    <row r="115" spans="2:38" ht="14.6">
      <c r="B115" s="342" t="s">
        <v>175</v>
      </c>
      <c r="C115" s="425"/>
      <c r="D115" s="343" t="s">
        <v>302</v>
      </c>
      <c r="E115" s="443" t="s">
        <v>303</v>
      </c>
      <c r="F115" s="499">
        <v>0</v>
      </c>
      <c r="G115" s="455">
        <v>10</v>
      </c>
      <c r="H115" s="335">
        <v>1</v>
      </c>
      <c r="I115" s="336">
        <v>1</v>
      </c>
      <c r="J115" s="456">
        <v>0</v>
      </c>
      <c r="K115" s="335">
        <v>1</v>
      </c>
      <c r="L115" s="337">
        <v>1</v>
      </c>
      <c r="M115" s="500">
        <v>30.480799999999999</v>
      </c>
      <c r="N115" s="457">
        <v>35.623840000000001</v>
      </c>
      <c r="O115" s="335">
        <v>1.16873</v>
      </c>
      <c r="P115" s="338">
        <v>1</v>
      </c>
      <c r="Q115" s="458">
        <v>80</v>
      </c>
      <c r="R115" s="335">
        <v>2.6246</v>
      </c>
      <c r="S115" s="338">
        <v>1</v>
      </c>
      <c r="T115" s="499">
        <v>35.623840000000001</v>
      </c>
      <c r="U115" s="689">
        <v>80</v>
      </c>
      <c r="V115" s="455"/>
      <c r="W115" s="455"/>
      <c r="X115" s="335"/>
      <c r="Y115" s="340"/>
      <c r="Z115" s="455"/>
      <c r="AA115" s="335"/>
      <c r="AB115" s="344"/>
      <c r="AC115" s="339" t="s">
        <v>176</v>
      </c>
      <c r="AD115" s="341"/>
      <c r="AE115" s="160">
        <v>0</v>
      </c>
      <c r="AF115" s="185" t="s">
        <v>24</v>
      </c>
      <c r="AG115" s="185" t="s">
        <v>24</v>
      </c>
      <c r="AH115" s="131"/>
      <c r="AI115" s="95" t="s">
        <v>176</v>
      </c>
      <c r="AJ115" s="95" t="s">
        <v>177</v>
      </c>
      <c r="AK115" s="95">
        <v>0</v>
      </c>
      <c r="AL115" s="95"/>
    </row>
    <row r="116" spans="2:38" ht="14.6">
      <c r="B116" s="439" t="s">
        <v>175</v>
      </c>
      <c r="C116" s="459"/>
      <c r="D116" s="440" t="s">
        <v>309</v>
      </c>
      <c r="E116" s="442" t="s">
        <v>55</v>
      </c>
      <c r="F116" s="497">
        <v>0.949494210526316</v>
      </c>
      <c r="G116" s="452">
        <v>0</v>
      </c>
      <c r="H116" s="102">
        <v>1</v>
      </c>
      <c r="I116" s="435">
        <v>1</v>
      </c>
      <c r="J116" s="453">
        <v>0</v>
      </c>
      <c r="K116" s="102">
        <v>1</v>
      </c>
      <c r="L116" s="436">
        <v>1</v>
      </c>
      <c r="M116" s="498">
        <v>0.949494210526316</v>
      </c>
      <c r="N116" s="438">
        <v>1</v>
      </c>
      <c r="O116" s="102">
        <v>0.94948999999999995</v>
      </c>
      <c r="P116" s="41">
        <v>1</v>
      </c>
      <c r="Q116" s="454">
        <v>1</v>
      </c>
      <c r="R116" s="102">
        <v>0.94948999999999995</v>
      </c>
      <c r="S116" s="41">
        <v>1</v>
      </c>
      <c r="T116" s="497">
        <v>1</v>
      </c>
      <c r="U116" s="688">
        <v>1</v>
      </c>
      <c r="V116" s="452"/>
      <c r="W116" s="452"/>
      <c r="X116" s="102"/>
      <c r="Y116" s="95"/>
      <c r="Z116" s="452"/>
      <c r="AA116" s="102"/>
      <c r="AB116" s="441"/>
      <c r="AC116" s="434" t="s">
        <v>176</v>
      </c>
      <c r="AD116" s="437"/>
      <c r="AE116" s="160">
        <v>0</v>
      </c>
      <c r="AF116" s="185" t="s">
        <v>379</v>
      </c>
      <c r="AG116" s="185" t="s">
        <v>24</v>
      </c>
      <c r="AH116" s="131"/>
      <c r="AI116" s="95" t="s">
        <v>176</v>
      </c>
      <c r="AJ116" s="95" t="s">
        <v>177</v>
      </c>
      <c r="AK116" s="95">
        <v>0</v>
      </c>
      <c r="AL116" s="95"/>
    </row>
    <row r="117" spans="2:38" ht="14.6">
      <c r="B117" s="342" t="s">
        <v>175</v>
      </c>
      <c r="C117" s="425"/>
      <c r="D117" s="343" t="s">
        <v>302</v>
      </c>
      <c r="E117" s="443" t="s">
        <v>303</v>
      </c>
      <c r="F117" s="499">
        <v>36.080779999999997</v>
      </c>
      <c r="G117" s="455">
        <v>0</v>
      </c>
      <c r="H117" s="335">
        <v>0</v>
      </c>
      <c r="I117" s="336">
        <v>0</v>
      </c>
      <c r="J117" s="456">
        <v>0</v>
      </c>
      <c r="K117" s="335">
        <v>0</v>
      </c>
      <c r="L117" s="337">
        <v>0</v>
      </c>
      <c r="M117" s="500">
        <v>36.080779999999997</v>
      </c>
      <c r="N117" s="457">
        <v>38</v>
      </c>
      <c r="O117" s="335">
        <v>1.0531900000000001</v>
      </c>
      <c r="P117" s="338">
        <v>1</v>
      </c>
      <c r="Q117" s="458">
        <v>40</v>
      </c>
      <c r="R117" s="335">
        <v>1.1086199999999999</v>
      </c>
      <c r="S117" s="338">
        <v>1</v>
      </c>
      <c r="T117" s="499">
        <v>38</v>
      </c>
      <c r="U117" s="689">
        <v>40</v>
      </c>
      <c r="V117" s="455"/>
      <c r="W117" s="455"/>
      <c r="X117" s="335"/>
      <c r="Y117" s="340"/>
      <c r="Z117" s="455"/>
      <c r="AA117" s="335"/>
      <c r="AB117" s="344"/>
      <c r="AC117" s="339" t="s">
        <v>176</v>
      </c>
      <c r="AD117" s="341"/>
      <c r="AE117" s="160">
        <v>0</v>
      </c>
      <c r="AF117" s="185" t="s">
        <v>24</v>
      </c>
      <c r="AG117" s="185" t="s">
        <v>24</v>
      </c>
      <c r="AH117" s="131"/>
      <c r="AI117" s="95" t="s">
        <v>176</v>
      </c>
      <c r="AJ117" s="95" t="s">
        <v>177</v>
      </c>
      <c r="AK117" s="95">
        <v>0</v>
      </c>
      <c r="AL117" s="95"/>
    </row>
    <row r="118" spans="2:38" ht="14.6">
      <c r="B118" s="439" t="s">
        <v>175</v>
      </c>
      <c r="C118" s="459"/>
      <c r="D118" s="440" t="s">
        <v>312</v>
      </c>
      <c r="E118" s="442" t="s">
        <v>55</v>
      </c>
      <c r="F118" s="497">
        <v>0.283598638718283</v>
      </c>
      <c r="G118" s="452">
        <v>0.54250875336757298</v>
      </c>
      <c r="H118" s="102">
        <v>0.52275000000000005</v>
      </c>
      <c r="I118" s="435">
        <v>0</v>
      </c>
      <c r="J118" s="453">
        <v>0</v>
      </c>
      <c r="K118" s="102">
        <v>1</v>
      </c>
      <c r="L118" s="436">
        <v>1</v>
      </c>
      <c r="M118" s="498">
        <v>0.53984608468530404</v>
      </c>
      <c r="N118" s="438">
        <v>1.1012948009533201</v>
      </c>
      <c r="O118" s="102">
        <v>0.49019000000000001</v>
      </c>
      <c r="P118" s="41">
        <v>0</v>
      </c>
      <c r="Q118" s="454">
        <v>1</v>
      </c>
      <c r="R118" s="102">
        <v>0.53985000000000005</v>
      </c>
      <c r="S118" s="41">
        <v>0</v>
      </c>
      <c r="T118" s="497">
        <v>1</v>
      </c>
      <c r="U118" s="688">
        <v>1</v>
      </c>
      <c r="V118" s="452"/>
      <c r="W118" s="452"/>
      <c r="X118" s="102"/>
      <c r="Y118" s="95"/>
      <c r="Z118" s="452"/>
      <c r="AA118" s="102"/>
      <c r="AB118" s="441"/>
      <c r="AC118" s="434" t="s">
        <v>176</v>
      </c>
      <c r="AD118" s="437"/>
      <c r="AE118" s="160">
        <v>0</v>
      </c>
      <c r="AF118" s="185" t="s">
        <v>24</v>
      </c>
      <c r="AG118" s="185" t="s">
        <v>24</v>
      </c>
      <c r="AH118" s="131"/>
      <c r="AI118" s="95" t="s">
        <v>176</v>
      </c>
      <c r="AJ118" s="95" t="s">
        <v>177</v>
      </c>
      <c r="AK118" s="95">
        <v>0</v>
      </c>
      <c r="AL118" s="95"/>
    </row>
    <row r="119" spans="2:38" ht="14.6">
      <c r="B119" s="439" t="s">
        <v>175</v>
      </c>
      <c r="C119" s="459"/>
      <c r="D119" s="440" t="s">
        <v>302</v>
      </c>
      <c r="E119" s="442" t="s">
        <v>303</v>
      </c>
      <c r="F119" s="501">
        <v>127.02923</v>
      </c>
      <c r="G119" s="448">
        <v>243</v>
      </c>
      <c r="H119" s="102">
        <v>1.9129499999999999</v>
      </c>
      <c r="I119" s="435">
        <v>1</v>
      </c>
      <c r="J119" s="449">
        <v>0</v>
      </c>
      <c r="K119" s="102">
        <v>0</v>
      </c>
      <c r="L119" s="436">
        <v>0</v>
      </c>
      <c r="M119" s="502">
        <v>241.80734000000001</v>
      </c>
      <c r="N119" s="450">
        <v>493.29091</v>
      </c>
      <c r="O119" s="102">
        <v>2.0400200000000002</v>
      </c>
      <c r="P119" s="41">
        <v>1</v>
      </c>
      <c r="Q119" s="451">
        <v>411</v>
      </c>
      <c r="R119" s="102">
        <v>1.6997</v>
      </c>
      <c r="S119" s="41">
        <v>1</v>
      </c>
      <c r="T119" s="501">
        <v>447.91904</v>
      </c>
      <c r="U119" s="687">
        <v>411</v>
      </c>
      <c r="V119" s="448"/>
      <c r="W119" s="448"/>
      <c r="X119" s="102"/>
      <c r="Y119" s="95"/>
      <c r="Z119" s="448"/>
      <c r="AA119" s="102"/>
      <c r="AB119" s="441"/>
      <c r="AC119" s="434" t="s">
        <v>176</v>
      </c>
      <c r="AD119" s="437"/>
      <c r="AE119" s="160">
        <v>0</v>
      </c>
      <c r="AF119" s="185" t="s">
        <v>24</v>
      </c>
      <c r="AG119" s="185" t="s">
        <v>24</v>
      </c>
      <c r="AH119" s="131"/>
      <c r="AI119" s="95" t="s">
        <v>176</v>
      </c>
      <c r="AJ119" s="95" t="s">
        <v>177</v>
      </c>
      <c r="AK119" s="95">
        <v>0</v>
      </c>
      <c r="AL119" s="95"/>
    </row>
    <row r="120" spans="2:38" ht="14.6">
      <c r="B120" s="439" t="s">
        <v>175</v>
      </c>
      <c r="C120" s="459"/>
      <c r="D120" s="440" t="s">
        <v>313</v>
      </c>
      <c r="E120" s="442" t="s">
        <v>55</v>
      </c>
      <c r="F120" s="497">
        <v>0.20921331581111799</v>
      </c>
      <c r="G120" s="452">
        <v>0.31677559054009502</v>
      </c>
      <c r="H120" s="102">
        <v>0.66044999999999998</v>
      </c>
      <c r="I120" s="435">
        <v>0</v>
      </c>
      <c r="J120" s="453">
        <v>0</v>
      </c>
      <c r="K120" s="102">
        <v>1</v>
      </c>
      <c r="L120" s="436">
        <v>1</v>
      </c>
      <c r="M120" s="498">
        <v>0.64069571931255698</v>
      </c>
      <c r="N120" s="438">
        <v>0.87429507374736903</v>
      </c>
      <c r="O120" s="102">
        <v>0.73280999999999996</v>
      </c>
      <c r="P120" s="41">
        <v>0</v>
      </c>
      <c r="Q120" s="454">
        <v>1</v>
      </c>
      <c r="R120" s="102">
        <v>0.64070000000000005</v>
      </c>
      <c r="S120" s="41">
        <v>0</v>
      </c>
      <c r="T120" s="497">
        <v>1</v>
      </c>
      <c r="U120" s="688">
        <v>1</v>
      </c>
      <c r="V120" s="452"/>
      <c r="W120" s="452"/>
      <c r="X120" s="102"/>
      <c r="Y120" s="95"/>
      <c r="Z120" s="452"/>
      <c r="AA120" s="102"/>
      <c r="AB120" s="441"/>
      <c r="AC120" s="434" t="s">
        <v>176</v>
      </c>
      <c r="AD120" s="437"/>
      <c r="AE120" s="160">
        <v>0</v>
      </c>
      <c r="AF120" s="185" t="s">
        <v>24</v>
      </c>
      <c r="AG120" s="185" t="s">
        <v>24</v>
      </c>
      <c r="AH120" s="131"/>
      <c r="AI120" s="95" t="s">
        <v>176</v>
      </c>
      <c r="AJ120" s="95" t="s">
        <v>177</v>
      </c>
      <c r="AK120" s="95">
        <v>0</v>
      </c>
      <c r="AL120" s="95"/>
    </row>
    <row r="121" spans="2:38" ht="14.6">
      <c r="B121" s="342" t="s">
        <v>175</v>
      </c>
      <c r="C121" s="425"/>
      <c r="D121" s="343" t="s">
        <v>314</v>
      </c>
      <c r="E121" s="443" t="s">
        <v>303</v>
      </c>
      <c r="F121" s="499">
        <v>249.64876000000001</v>
      </c>
      <c r="G121" s="455">
        <v>378</v>
      </c>
      <c r="H121" s="335">
        <v>1.51413</v>
      </c>
      <c r="I121" s="336">
        <v>1</v>
      </c>
      <c r="J121" s="456">
        <v>0</v>
      </c>
      <c r="K121" s="335">
        <v>0</v>
      </c>
      <c r="L121" s="337">
        <v>0</v>
      </c>
      <c r="M121" s="500">
        <v>764.52539000000002</v>
      </c>
      <c r="N121" s="457">
        <v>1043.2733700000001</v>
      </c>
      <c r="O121" s="335">
        <v>1.3646</v>
      </c>
      <c r="P121" s="338">
        <v>1</v>
      </c>
      <c r="Q121" s="458">
        <v>1281</v>
      </c>
      <c r="R121" s="335">
        <v>1.6755499999999999</v>
      </c>
      <c r="S121" s="338">
        <v>1</v>
      </c>
      <c r="T121" s="499">
        <v>1193.27376</v>
      </c>
      <c r="U121" s="689">
        <v>1281</v>
      </c>
      <c r="V121" s="455"/>
      <c r="W121" s="455"/>
      <c r="X121" s="335"/>
      <c r="Y121" s="340"/>
      <c r="Z121" s="455"/>
      <c r="AA121" s="335"/>
      <c r="AB121" s="344"/>
      <c r="AC121" s="339" t="s">
        <v>176</v>
      </c>
      <c r="AD121" s="341"/>
      <c r="AE121" s="160">
        <v>0</v>
      </c>
      <c r="AF121" s="185" t="s">
        <v>24</v>
      </c>
      <c r="AG121" s="185" t="s">
        <v>24</v>
      </c>
      <c r="AH121" s="131"/>
      <c r="AI121" s="95" t="s">
        <v>176</v>
      </c>
      <c r="AJ121" s="95" t="s">
        <v>177</v>
      </c>
      <c r="AK121" s="95">
        <v>0</v>
      </c>
      <c r="AL121" s="95"/>
    </row>
    <row r="122" spans="2:38" ht="84">
      <c r="B122" s="342" t="s">
        <v>175</v>
      </c>
      <c r="C122" s="425"/>
      <c r="D122" s="343" t="s">
        <v>315</v>
      </c>
      <c r="E122" s="443" t="s">
        <v>55</v>
      </c>
      <c r="F122" s="495">
        <v>2.36544457979871E-2</v>
      </c>
      <c r="G122" s="444">
        <v>5.8204837101346302E-2</v>
      </c>
      <c r="H122" s="335">
        <v>0.40639999999999998</v>
      </c>
      <c r="I122" s="336">
        <v>0</v>
      </c>
      <c r="J122" s="445">
        <v>0</v>
      </c>
      <c r="K122" s="335">
        <v>1</v>
      </c>
      <c r="L122" s="337">
        <v>1</v>
      </c>
      <c r="M122" s="496">
        <v>0.74889269177737205</v>
      </c>
      <c r="N122" s="446">
        <v>0.84284693982636505</v>
      </c>
      <c r="O122" s="335">
        <v>0.88853000000000004</v>
      </c>
      <c r="P122" s="338">
        <v>0</v>
      </c>
      <c r="Q122" s="447">
        <v>1</v>
      </c>
      <c r="R122" s="335">
        <v>0.74888999999999994</v>
      </c>
      <c r="S122" s="338">
        <v>0</v>
      </c>
      <c r="T122" s="495">
        <v>1</v>
      </c>
      <c r="U122" s="686">
        <v>1</v>
      </c>
      <c r="V122" s="444"/>
      <c r="W122" s="444"/>
      <c r="X122" s="335"/>
      <c r="Y122" s="340"/>
      <c r="Z122" s="444"/>
      <c r="AA122" s="335"/>
      <c r="AB122" s="344"/>
      <c r="AC122" s="339" t="s">
        <v>176</v>
      </c>
      <c r="AD122" s="341"/>
      <c r="AE122" s="160">
        <v>0</v>
      </c>
      <c r="AF122" s="185" t="s">
        <v>380</v>
      </c>
      <c r="AG122" s="185" t="s">
        <v>24</v>
      </c>
      <c r="AH122" s="131"/>
      <c r="AI122" s="95" t="s">
        <v>176</v>
      </c>
      <c r="AJ122" s="95" t="s">
        <v>177</v>
      </c>
      <c r="AK122" s="95">
        <v>0</v>
      </c>
      <c r="AL122" s="95"/>
    </row>
    <row r="123" spans="2:38" ht="14.6" collapsed="1">
      <c r="B123" s="439" t="s">
        <v>175</v>
      </c>
      <c r="C123" s="459"/>
      <c r="D123" s="440" t="s">
        <v>317</v>
      </c>
      <c r="E123" s="442" t="s">
        <v>303</v>
      </c>
      <c r="F123" s="501">
        <v>6.0960000000000001</v>
      </c>
      <c r="G123" s="448">
        <v>15</v>
      </c>
      <c r="H123" s="102">
        <v>2.4606300000000001</v>
      </c>
      <c r="I123" s="435">
        <v>1</v>
      </c>
      <c r="J123" s="449">
        <v>0</v>
      </c>
      <c r="K123" s="102">
        <v>0</v>
      </c>
      <c r="L123" s="436">
        <v>0</v>
      </c>
      <c r="M123" s="502">
        <v>192.99753999999999</v>
      </c>
      <c r="N123" s="450">
        <v>217.21054000000001</v>
      </c>
      <c r="O123" s="102">
        <v>1.1254599999999999</v>
      </c>
      <c r="P123" s="41">
        <v>1</v>
      </c>
      <c r="Q123" s="451">
        <v>321.75</v>
      </c>
      <c r="R123" s="102">
        <v>1.6671200000000002</v>
      </c>
      <c r="S123" s="41">
        <v>1</v>
      </c>
      <c r="T123" s="501">
        <v>257.71053999999998</v>
      </c>
      <c r="U123" s="687">
        <v>321.75</v>
      </c>
      <c r="V123" s="448"/>
      <c r="W123" s="448"/>
      <c r="X123" s="102"/>
      <c r="Y123" s="95"/>
      <c r="Z123" s="448"/>
      <c r="AA123" s="102"/>
      <c r="AB123" s="441"/>
      <c r="AC123" s="434" t="s">
        <v>176</v>
      </c>
      <c r="AD123" s="437"/>
      <c r="AE123" s="160">
        <v>0</v>
      </c>
      <c r="AF123" s="185" t="s">
        <v>24</v>
      </c>
      <c r="AG123" s="185" t="s">
        <v>24</v>
      </c>
      <c r="AH123" s="131"/>
      <c r="AI123" s="95" t="s">
        <v>176</v>
      </c>
      <c r="AJ123" s="95" t="s">
        <v>177</v>
      </c>
      <c r="AK123" s="95">
        <v>0</v>
      </c>
      <c r="AL123" s="95"/>
    </row>
    <row r="124" spans="2:38" ht="48">
      <c r="B124" s="439" t="s">
        <v>175</v>
      </c>
      <c r="C124" s="459"/>
      <c r="D124" s="440" t="s">
        <v>381</v>
      </c>
      <c r="E124" s="442" t="s">
        <v>55</v>
      </c>
      <c r="F124" s="497">
        <v>0.25766666666666699</v>
      </c>
      <c r="G124" s="452">
        <v>0.51111111111111096</v>
      </c>
      <c r="H124" s="102">
        <v>0.50412999999999997</v>
      </c>
      <c r="I124" s="435">
        <v>0</v>
      </c>
      <c r="J124" s="453">
        <v>0</v>
      </c>
      <c r="K124" s="102">
        <v>1</v>
      </c>
      <c r="L124" s="436">
        <v>1</v>
      </c>
      <c r="M124" s="498">
        <v>0.69655555555555504</v>
      </c>
      <c r="N124" s="438">
        <v>0.81777777777777805</v>
      </c>
      <c r="O124" s="102">
        <v>0.85177000000000003</v>
      </c>
      <c r="P124" s="41">
        <v>0</v>
      </c>
      <c r="Q124" s="454">
        <v>0</v>
      </c>
      <c r="R124" s="102">
        <v>1</v>
      </c>
      <c r="S124" s="41">
        <v>1</v>
      </c>
      <c r="T124" s="497">
        <v>1</v>
      </c>
      <c r="U124" s="688">
        <v>1</v>
      </c>
      <c r="V124" s="452"/>
      <c r="W124" s="452"/>
      <c r="X124" s="102"/>
      <c r="Y124" s="95"/>
      <c r="Z124" s="452"/>
      <c r="AA124" s="102"/>
      <c r="AB124" s="441"/>
      <c r="AC124" s="434" t="s">
        <v>176</v>
      </c>
      <c r="AD124" s="437"/>
      <c r="AE124" s="160">
        <v>0</v>
      </c>
      <c r="AF124" s="185" t="s">
        <v>382</v>
      </c>
      <c r="AG124" s="185" t="s">
        <v>319</v>
      </c>
      <c r="AH124" s="131"/>
      <c r="AI124" s="95" t="s">
        <v>176</v>
      </c>
      <c r="AJ124" s="95" t="s">
        <v>177</v>
      </c>
      <c r="AK124" s="95">
        <v>0</v>
      </c>
      <c r="AL124" s="95"/>
    </row>
    <row r="125" spans="2:38" ht="14.6">
      <c r="B125" s="342" t="s">
        <v>175</v>
      </c>
      <c r="C125" s="425"/>
      <c r="D125" s="343" t="s">
        <v>317</v>
      </c>
      <c r="E125" s="443" t="s">
        <v>303</v>
      </c>
      <c r="F125" s="499">
        <v>46.38</v>
      </c>
      <c r="G125" s="455">
        <v>92</v>
      </c>
      <c r="H125" s="335">
        <v>1.9836100000000001</v>
      </c>
      <c r="I125" s="336">
        <v>1</v>
      </c>
      <c r="J125" s="456">
        <v>0</v>
      </c>
      <c r="K125" s="335">
        <v>0</v>
      </c>
      <c r="L125" s="337">
        <v>0</v>
      </c>
      <c r="M125" s="500">
        <v>125.38</v>
      </c>
      <c r="N125" s="457">
        <v>147.19999999999999</v>
      </c>
      <c r="O125" s="335">
        <v>1.1740299999999999</v>
      </c>
      <c r="P125" s="338">
        <v>1</v>
      </c>
      <c r="Q125" s="458">
        <v>0</v>
      </c>
      <c r="R125" s="335">
        <v>0</v>
      </c>
      <c r="S125" s="338">
        <v>0</v>
      </c>
      <c r="T125" s="499">
        <v>180</v>
      </c>
      <c r="U125" s="689">
        <v>0</v>
      </c>
      <c r="V125" s="455"/>
      <c r="W125" s="455"/>
      <c r="X125" s="335"/>
      <c r="Y125" s="340"/>
      <c r="Z125" s="455"/>
      <c r="AA125" s="335"/>
      <c r="AB125" s="344"/>
      <c r="AC125" s="339" t="s">
        <v>176</v>
      </c>
      <c r="AD125" s="341"/>
      <c r="AE125" s="160">
        <v>0</v>
      </c>
      <c r="AF125" s="185" t="s">
        <v>24</v>
      </c>
      <c r="AG125" s="185" t="s">
        <v>24</v>
      </c>
      <c r="AH125" s="131"/>
      <c r="AI125" s="95" t="s">
        <v>176</v>
      </c>
      <c r="AJ125" s="95" t="s">
        <v>177</v>
      </c>
      <c r="AK125" s="95">
        <v>0</v>
      </c>
      <c r="AL125" s="95"/>
    </row>
    <row r="126" spans="2:38" ht="36">
      <c r="B126" s="342" t="s">
        <v>175</v>
      </c>
      <c r="C126" s="425"/>
      <c r="D126" s="343" t="s">
        <v>320</v>
      </c>
      <c r="E126" s="443" t="s">
        <v>55</v>
      </c>
      <c r="F126" s="495">
        <v>0.22539325513196501</v>
      </c>
      <c r="G126" s="444">
        <v>0.42815249266862199</v>
      </c>
      <c r="H126" s="335">
        <v>0.52642999999999995</v>
      </c>
      <c r="I126" s="336">
        <v>0</v>
      </c>
      <c r="J126" s="445">
        <v>0</v>
      </c>
      <c r="K126" s="335">
        <v>1</v>
      </c>
      <c r="L126" s="337">
        <v>1</v>
      </c>
      <c r="M126" s="496">
        <v>0.48871624633431099</v>
      </c>
      <c r="N126" s="446">
        <v>0.69677419354838699</v>
      </c>
      <c r="O126" s="335">
        <v>0.70140000000000002</v>
      </c>
      <c r="P126" s="338">
        <v>0</v>
      </c>
      <c r="Q126" s="447">
        <v>0</v>
      </c>
      <c r="R126" s="335">
        <v>1</v>
      </c>
      <c r="S126" s="338">
        <v>1</v>
      </c>
      <c r="T126" s="495">
        <v>1</v>
      </c>
      <c r="U126" s="686">
        <v>1</v>
      </c>
      <c r="V126" s="444"/>
      <c r="W126" s="444"/>
      <c r="X126" s="335"/>
      <c r="Y126" s="340"/>
      <c r="Z126" s="444"/>
      <c r="AA126" s="335"/>
      <c r="AB126" s="344"/>
      <c r="AC126" s="339" t="s">
        <v>176</v>
      </c>
      <c r="AD126" s="341"/>
      <c r="AE126" s="160">
        <v>0</v>
      </c>
      <c r="AF126" s="185" t="s">
        <v>383</v>
      </c>
      <c r="AG126" s="185" t="s">
        <v>24</v>
      </c>
      <c r="AH126" s="131"/>
      <c r="AI126" s="95" t="s">
        <v>176</v>
      </c>
      <c r="AJ126" s="95" t="s">
        <v>177</v>
      </c>
      <c r="AK126" s="95">
        <v>0</v>
      </c>
      <c r="AL126" s="95"/>
    </row>
    <row r="127" spans="2:38" ht="14.6">
      <c r="B127" s="342" t="s">
        <v>175</v>
      </c>
      <c r="C127" s="425"/>
      <c r="D127" s="343" t="s">
        <v>317</v>
      </c>
      <c r="E127" s="443" t="s">
        <v>303</v>
      </c>
      <c r="F127" s="499">
        <v>38.429549999999999</v>
      </c>
      <c r="G127" s="455">
        <v>73</v>
      </c>
      <c r="H127" s="335">
        <v>1.89958</v>
      </c>
      <c r="I127" s="336">
        <v>1</v>
      </c>
      <c r="J127" s="456">
        <v>0</v>
      </c>
      <c r="K127" s="335">
        <v>0</v>
      </c>
      <c r="L127" s="337">
        <v>0</v>
      </c>
      <c r="M127" s="500">
        <v>83.326120000000003</v>
      </c>
      <c r="N127" s="457">
        <v>118.8</v>
      </c>
      <c r="O127" s="335">
        <v>1.4257200000000001</v>
      </c>
      <c r="P127" s="338">
        <v>1</v>
      </c>
      <c r="Q127" s="458">
        <v>0</v>
      </c>
      <c r="R127" s="335">
        <v>0</v>
      </c>
      <c r="S127" s="338">
        <v>0</v>
      </c>
      <c r="T127" s="499">
        <v>170.5</v>
      </c>
      <c r="U127" s="689">
        <v>0</v>
      </c>
      <c r="V127" s="455"/>
      <c r="W127" s="455"/>
      <c r="X127" s="335"/>
      <c r="Y127" s="340"/>
      <c r="Z127" s="455"/>
      <c r="AA127" s="335"/>
      <c r="AB127" s="344"/>
      <c r="AC127" s="339" t="s">
        <v>176</v>
      </c>
      <c r="AD127" s="341"/>
      <c r="AE127" s="160">
        <v>0</v>
      </c>
      <c r="AF127" s="185" t="s">
        <v>24</v>
      </c>
      <c r="AG127" s="185" t="s">
        <v>24</v>
      </c>
      <c r="AH127" s="131"/>
      <c r="AI127" s="95" t="s">
        <v>176</v>
      </c>
      <c r="AJ127" s="95" t="s">
        <v>177</v>
      </c>
      <c r="AK127" s="95">
        <v>0</v>
      </c>
      <c r="AL127" s="95"/>
    </row>
    <row r="128" spans="2:38" ht="15" thickBot="1">
      <c r="B128" s="690"/>
      <c r="C128" s="690"/>
      <c r="D128" s="691"/>
      <c r="E128" s="541"/>
      <c r="F128" s="450"/>
      <c r="G128" s="450"/>
      <c r="H128" s="335"/>
      <c r="I128" s="336"/>
      <c r="J128" s="450"/>
      <c r="K128" s="335"/>
      <c r="L128" s="337"/>
      <c r="M128" s="503"/>
      <c r="N128" s="450"/>
      <c r="O128" s="335"/>
      <c r="P128" s="656"/>
      <c r="Q128" s="503"/>
      <c r="R128" s="335"/>
      <c r="S128" s="657"/>
      <c r="T128" s="450"/>
      <c r="U128" s="448"/>
      <c r="V128" s="450"/>
      <c r="W128" s="450"/>
      <c r="X128" s="335"/>
      <c r="Y128" s="340"/>
      <c r="Z128" s="450"/>
      <c r="AA128" s="335"/>
      <c r="AB128" s="338"/>
      <c r="AC128" s="339"/>
      <c r="AD128" s="341"/>
      <c r="AE128" s="437"/>
      <c r="AF128" s="699"/>
      <c r="AG128" s="699"/>
      <c r="AH128" s="131"/>
      <c r="AI128" s="95"/>
      <c r="AJ128" s="95"/>
      <c r="AK128" s="95"/>
      <c r="AL128" s="95"/>
    </row>
    <row r="129" spans="2:38" ht="16.3" thickTop="1">
      <c r="B129" s="702" t="s">
        <v>156</v>
      </c>
      <c r="C129" s="702"/>
      <c r="D129" s="703" t="s">
        <v>163</v>
      </c>
      <c r="E129" s="704" t="s">
        <v>157</v>
      </c>
      <c r="F129" s="705" t="s">
        <v>158</v>
      </c>
      <c r="G129" s="705" t="s">
        <v>159</v>
      </c>
      <c r="H129" s="706"/>
      <c r="I129" s="707"/>
      <c r="J129" s="804" t="s">
        <v>161</v>
      </c>
      <c r="K129" s="805"/>
      <c r="L129" s="805"/>
      <c r="M129" s="805"/>
      <c r="N129" s="805"/>
      <c r="O129" s="805"/>
      <c r="P129" s="805"/>
      <c r="Q129" s="805"/>
      <c r="R129" s="805"/>
      <c r="S129" s="805"/>
      <c r="T129" s="805"/>
      <c r="U129" s="708" t="s">
        <v>160</v>
      </c>
      <c r="V129" s="705"/>
      <c r="W129" s="705"/>
      <c r="X129" s="706"/>
      <c r="Y129" s="709"/>
      <c r="Z129" s="705"/>
      <c r="AA129" s="706"/>
      <c r="AB129" s="709"/>
      <c r="AC129" s="707"/>
      <c r="AD129" s="710"/>
      <c r="AE129" s="710"/>
      <c r="AF129" s="711" t="s">
        <v>18</v>
      </c>
      <c r="AG129" s="711" t="s">
        <v>9</v>
      </c>
      <c r="AH129" s="131"/>
      <c r="AI129" s="95"/>
      <c r="AJ129" s="95"/>
      <c r="AK129" s="95"/>
      <c r="AL129" s="95"/>
    </row>
    <row r="130" spans="2:38" ht="72.900000000000006">
      <c r="B130" s="692">
        <v>1</v>
      </c>
      <c r="C130" s="692"/>
      <c r="D130" s="693" t="s">
        <v>321</v>
      </c>
      <c r="E130" s="731" t="s">
        <v>24</v>
      </c>
      <c r="F130" s="732" t="s">
        <v>384</v>
      </c>
      <c r="G130" s="732" t="s">
        <v>385</v>
      </c>
      <c r="H130" s="733" t="s">
        <v>164</v>
      </c>
      <c r="I130" s="734">
        <v>2</v>
      </c>
      <c r="J130" s="806" t="s">
        <v>322</v>
      </c>
      <c r="K130" s="807"/>
      <c r="L130" s="807"/>
      <c r="M130" s="807"/>
      <c r="N130" s="807"/>
      <c r="O130" s="807"/>
      <c r="P130" s="807"/>
      <c r="Q130" s="807"/>
      <c r="R130" s="807"/>
      <c r="S130" s="807"/>
      <c r="T130" s="807"/>
      <c r="U130" s="713" t="s">
        <v>165</v>
      </c>
      <c r="V130" s="712"/>
      <c r="W130" s="712"/>
      <c r="X130" s="695"/>
      <c r="Y130" s="697"/>
      <c r="Z130" s="712"/>
      <c r="AA130" s="695"/>
      <c r="AB130" s="696"/>
      <c r="AC130" s="694"/>
      <c r="AD130" s="698"/>
      <c r="AE130" s="714"/>
      <c r="AF130" s="715" t="s">
        <v>386</v>
      </c>
      <c r="AG130" s="715"/>
      <c r="AH130" s="131"/>
      <c r="AI130" s="95"/>
      <c r="AJ130" s="95"/>
      <c r="AK130" s="95"/>
      <c r="AL130" s="95"/>
    </row>
    <row r="131" spans="2:38" ht="131.15">
      <c r="B131" s="690">
        <v>2</v>
      </c>
      <c r="C131" s="690"/>
      <c r="D131" s="691" t="s">
        <v>323</v>
      </c>
      <c r="E131" s="52" t="s">
        <v>24</v>
      </c>
      <c r="F131" s="700" t="s">
        <v>166</v>
      </c>
      <c r="G131" s="700" t="s">
        <v>167</v>
      </c>
      <c r="H131" s="54" t="s">
        <v>164</v>
      </c>
      <c r="I131" s="701">
        <v>2</v>
      </c>
      <c r="J131" s="808" t="s">
        <v>388</v>
      </c>
      <c r="K131" s="809"/>
      <c r="L131" s="809"/>
      <c r="M131" s="809"/>
      <c r="N131" s="809"/>
      <c r="O131" s="809"/>
      <c r="P131" s="809"/>
      <c r="Q131" s="809"/>
      <c r="R131" s="809"/>
      <c r="S131" s="809"/>
      <c r="T131" s="809"/>
      <c r="U131" s="448" t="s">
        <v>165</v>
      </c>
      <c r="V131" s="450"/>
      <c r="W131" s="450"/>
      <c r="X131" s="335"/>
      <c r="Y131" s="340"/>
      <c r="Z131" s="450"/>
      <c r="AA131" s="335"/>
      <c r="AB131" s="338"/>
      <c r="AC131" s="339"/>
      <c r="AD131" s="341"/>
      <c r="AE131" s="437"/>
      <c r="AF131" s="716" t="s">
        <v>387</v>
      </c>
      <c r="AG131" s="716"/>
      <c r="AH131" s="131"/>
      <c r="AI131" s="95"/>
      <c r="AJ131" s="95"/>
      <c r="AK131" s="95"/>
      <c r="AL131" s="95"/>
    </row>
    <row r="132" spans="2:38" ht="29.15">
      <c r="B132" s="692">
        <v>3</v>
      </c>
      <c r="C132" s="692"/>
      <c r="D132" s="693" t="s">
        <v>324</v>
      </c>
      <c r="E132" s="731" t="s">
        <v>24</v>
      </c>
      <c r="F132" s="732" t="s">
        <v>166</v>
      </c>
      <c r="G132" s="732" t="s">
        <v>167</v>
      </c>
      <c r="H132" s="733" t="s">
        <v>164</v>
      </c>
      <c r="I132" s="734">
        <v>2</v>
      </c>
      <c r="J132" s="810" t="s">
        <v>325</v>
      </c>
      <c r="K132" s="811"/>
      <c r="L132" s="811"/>
      <c r="M132" s="811"/>
      <c r="N132" s="811"/>
      <c r="O132" s="811"/>
      <c r="P132" s="811"/>
      <c r="Q132" s="811"/>
      <c r="R132" s="811"/>
      <c r="S132" s="811"/>
      <c r="T132" s="811"/>
      <c r="U132" s="713" t="s">
        <v>165</v>
      </c>
      <c r="V132" s="712"/>
      <c r="W132" s="712"/>
      <c r="X132" s="695"/>
      <c r="Y132" s="697"/>
      <c r="Z132" s="712"/>
      <c r="AA132" s="695"/>
      <c r="AB132" s="696"/>
      <c r="AC132" s="694"/>
      <c r="AD132" s="698"/>
      <c r="AE132" s="714"/>
      <c r="AF132" s="715" t="s">
        <v>389</v>
      </c>
      <c r="AG132" s="715"/>
      <c r="AH132" s="131"/>
      <c r="AI132" s="95"/>
      <c r="AJ132" s="95"/>
      <c r="AK132" s="95"/>
      <c r="AL132" s="95"/>
    </row>
    <row r="133" spans="2:38" ht="131.15">
      <c r="B133" s="690">
        <v>4</v>
      </c>
      <c r="C133" s="690"/>
      <c r="D133" s="691" t="s">
        <v>326</v>
      </c>
      <c r="E133" s="52" t="s">
        <v>24</v>
      </c>
      <c r="F133" s="700" t="s">
        <v>166</v>
      </c>
      <c r="G133" s="700" t="s">
        <v>167</v>
      </c>
      <c r="H133" s="54" t="s">
        <v>164</v>
      </c>
      <c r="I133" s="701">
        <v>2</v>
      </c>
      <c r="J133" s="808" t="s">
        <v>327</v>
      </c>
      <c r="K133" s="809"/>
      <c r="L133" s="809"/>
      <c r="M133" s="809"/>
      <c r="N133" s="809"/>
      <c r="O133" s="809"/>
      <c r="P133" s="809"/>
      <c r="Q133" s="809"/>
      <c r="R133" s="809"/>
      <c r="S133" s="809"/>
      <c r="T133" s="809"/>
      <c r="U133" s="448" t="s">
        <v>165</v>
      </c>
      <c r="V133" s="450"/>
      <c r="W133" s="450"/>
      <c r="X133" s="335"/>
      <c r="Y133" s="340"/>
      <c r="Z133" s="450"/>
      <c r="AA133" s="335"/>
      <c r="AB133" s="338"/>
      <c r="AC133" s="339"/>
      <c r="AD133" s="341"/>
      <c r="AE133" s="437"/>
      <c r="AF133" s="716" t="s">
        <v>390</v>
      </c>
      <c r="AG133" s="716"/>
      <c r="AH133" s="131"/>
      <c r="AI133" s="95"/>
      <c r="AJ133" s="95"/>
      <c r="AK133" s="95"/>
      <c r="AL133" s="95"/>
    </row>
    <row r="134" spans="2:38" ht="43.75">
      <c r="B134" s="692">
        <v>5</v>
      </c>
      <c r="C134" s="692"/>
      <c r="D134" s="693" t="s">
        <v>328</v>
      </c>
      <c r="E134" s="731" t="s">
        <v>24</v>
      </c>
      <c r="F134" s="732" t="s">
        <v>166</v>
      </c>
      <c r="G134" s="732" t="s">
        <v>167</v>
      </c>
      <c r="H134" s="733" t="s">
        <v>164</v>
      </c>
      <c r="I134" s="734">
        <v>2</v>
      </c>
      <c r="J134" s="810" t="s">
        <v>329</v>
      </c>
      <c r="K134" s="811"/>
      <c r="L134" s="811"/>
      <c r="M134" s="811"/>
      <c r="N134" s="811"/>
      <c r="O134" s="811"/>
      <c r="P134" s="811"/>
      <c r="Q134" s="811"/>
      <c r="R134" s="811"/>
      <c r="S134" s="811"/>
      <c r="T134" s="811"/>
      <c r="U134" s="713" t="s">
        <v>165</v>
      </c>
      <c r="V134" s="712"/>
      <c r="W134" s="712"/>
      <c r="X134" s="695"/>
      <c r="Y134" s="697"/>
      <c r="Z134" s="712"/>
      <c r="AA134" s="695"/>
      <c r="AB134" s="696"/>
      <c r="AC134" s="694"/>
      <c r="AD134" s="698"/>
      <c r="AE134" s="714"/>
      <c r="AF134" s="715" t="s">
        <v>391</v>
      </c>
      <c r="AG134" s="715"/>
      <c r="AH134" s="131"/>
      <c r="AI134" s="95"/>
      <c r="AJ134" s="95"/>
      <c r="AK134" s="95"/>
      <c r="AL134" s="95"/>
    </row>
    <row r="135" spans="2:38" ht="58.3">
      <c r="B135" s="690">
        <v>7</v>
      </c>
      <c r="C135" s="690"/>
      <c r="D135" s="691" t="s">
        <v>338</v>
      </c>
      <c r="E135" s="52" t="s">
        <v>24</v>
      </c>
      <c r="F135" s="700" t="s">
        <v>166</v>
      </c>
      <c r="G135" s="700" t="s">
        <v>167</v>
      </c>
      <c r="H135" s="54" t="s">
        <v>164</v>
      </c>
      <c r="I135" s="701">
        <v>2</v>
      </c>
      <c r="J135" s="808" t="s">
        <v>339</v>
      </c>
      <c r="K135" s="809"/>
      <c r="L135" s="809"/>
      <c r="M135" s="809"/>
      <c r="N135" s="809"/>
      <c r="O135" s="809"/>
      <c r="P135" s="809"/>
      <c r="Q135" s="809"/>
      <c r="R135" s="809"/>
      <c r="S135" s="809"/>
      <c r="T135" s="809"/>
      <c r="U135" s="448" t="s">
        <v>165</v>
      </c>
      <c r="V135" s="450"/>
      <c r="W135" s="450"/>
      <c r="X135" s="335"/>
      <c r="Y135" s="340"/>
      <c r="Z135" s="450"/>
      <c r="AA135" s="335"/>
      <c r="AB135" s="338"/>
      <c r="AC135" s="339"/>
      <c r="AD135" s="341"/>
      <c r="AE135" s="437"/>
      <c r="AF135" s="716" t="s">
        <v>392</v>
      </c>
      <c r="AG135" s="716"/>
      <c r="AH135" s="131"/>
      <c r="AI135" s="95"/>
      <c r="AJ135" s="95"/>
      <c r="AK135" s="95"/>
      <c r="AL135" s="95"/>
    </row>
    <row r="136" spans="2:38" ht="14.6">
      <c r="B136" s="692">
        <v>100</v>
      </c>
      <c r="C136" s="692"/>
      <c r="D136" s="693" t="s">
        <v>330</v>
      </c>
      <c r="E136" s="731"/>
      <c r="F136" s="735"/>
      <c r="G136" s="735"/>
      <c r="H136" s="733"/>
      <c r="I136" s="734"/>
      <c r="J136" s="812"/>
      <c r="K136" s="813"/>
      <c r="L136" s="813"/>
      <c r="M136" s="813"/>
      <c r="N136" s="813"/>
      <c r="O136" s="813"/>
      <c r="P136" s="813"/>
      <c r="Q136" s="813"/>
      <c r="R136" s="813"/>
      <c r="S136" s="813"/>
      <c r="T136" s="813"/>
      <c r="U136" s="718"/>
      <c r="V136" s="717"/>
      <c r="W136" s="717"/>
      <c r="X136" s="695"/>
      <c r="Y136" s="697"/>
      <c r="Z136" s="717"/>
      <c r="AA136" s="695"/>
      <c r="AB136" s="696"/>
      <c r="AC136" s="694"/>
      <c r="AD136" s="698"/>
      <c r="AE136" s="698"/>
      <c r="AF136" s="719"/>
      <c r="AG136" s="719"/>
      <c r="AH136" s="131"/>
      <c r="AI136" s="95"/>
      <c r="AJ136" s="95"/>
      <c r="AK136" s="95"/>
      <c r="AL136" s="95"/>
    </row>
    <row r="137" spans="2:38" ht="29.15">
      <c r="B137" s="720">
        <v>8</v>
      </c>
      <c r="C137" s="720"/>
      <c r="D137" s="721" t="s">
        <v>331</v>
      </c>
      <c r="E137" s="736" t="s">
        <v>332</v>
      </c>
      <c r="F137" s="737" t="s">
        <v>166</v>
      </c>
      <c r="G137" s="737" t="s">
        <v>167</v>
      </c>
      <c r="H137" s="738" t="s">
        <v>164</v>
      </c>
      <c r="I137" s="739">
        <v>2</v>
      </c>
      <c r="J137" s="814" t="s">
        <v>334</v>
      </c>
      <c r="K137" s="815"/>
      <c r="L137" s="815"/>
      <c r="M137" s="815"/>
      <c r="N137" s="815"/>
      <c r="O137" s="815"/>
      <c r="P137" s="815"/>
      <c r="Q137" s="815"/>
      <c r="R137" s="815"/>
      <c r="S137" s="815"/>
      <c r="T137" s="815"/>
      <c r="U137" s="724" t="s">
        <v>165</v>
      </c>
      <c r="V137" s="722"/>
      <c r="W137" s="722"/>
      <c r="X137" s="723"/>
      <c r="Y137" s="725"/>
      <c r="Z137" s="722"/>
      <c r="AA137" s="723"/>
      <c r="AB137" s="726"/>
      <c r="AC137" s="727"/>
      <c r="AD137" s="728"/>
      <c r="AE137" s="729"/>
      <c r="AF137" s="730" t="s">
        <v>333</v>
      </c>
      <c r="AG137" s="730"/>
      <c r="AH137" s="131"/>
      <c r="AI137" s="95"/>
      <c r="AJ137" s="95"/>
      <c r="AK137" s="95"/>
      <c r="AL137" s="95"/>
    </row>
    <row r="138" spans="2:38" ht="14.6">
      <c r="B138" s="690"/>
      <c r="C138" s="690"/>
      <c r="D138" s="691"/>
      <c r="E138" s="541"/>
      <c r="F138" s="450"/>
      <c r="G138" s="450"/>
      <c r="H138" s="335"/>
      <c r="I138" s="336"/>
      <c r="J138" s="450"/>
      <c r="K138" s="335"/>
      <c r="L138" s="337"/>
      <c r="M138" s="503"/>
      <c r="N138" s="450"/>
      <c r="O138" s="335"/>
      <c r="P138" s="656"/>
      <c r="Q138" s="503"/>
      <c r="R138" s="335"/>
      <c r="S138" s="657"/>
      <c r="T138" s="450"/>
      <c r="U138" s="448"/>
      <c r="V138" s="450"/>
      <c r="W138" s="450"/>
      <c r="X138" s="335"/>
      <c r="Y138" s="340"/>
      <c r="Z138" s="450"/>
      <c r="AA138" s="335"/>
      <c r="AB138" s="338"/>
      <c r="AC138" s="339"/>
      <c r="AD138" s="341"/>
      <c r="AE138" s="437"/>
      <c r="AF138" s="699"/>
      <c r="AG138" s="699"/>
      <c r="AH138" s="131"/>
      <c r="AI138" s="95"/>
      <c r="AJ138" s="95"/>
      <c r="AK138" s="95"/>
      <c r="AL138" s="95"/>
    </row>
    <row r="139" spans="2:38" ht="15.9">
      <c r="B139" s="690"/>
      <c r="C139" s="690"/>
      <c r="D139" s="816" t="s">
        <v>335</v>
      </c>
      <c r="E139" s="790"/>
      <c r="F139" s="790"/>
      <c r="G139" s="790"/>
      <c r="H139" s="790"/>
      <c r="I139" s="790"/>
      <c r="J139" s="790"/>
      <c r="K139" s="790"/>
      <c r="L139" s="790"/>
      <c r="M139" s="790"/>
      <c r="N139" s="790"/>
      <c r="O139" s="790"/>
      <c r="P139" s="790"/>
      <c r="Q139" s="790"/>
      <c r="R139" s="790"/>
      <c r="S139" s="790"/>
      <c r="T139" s="790"/>
      <c r="U139" s="790"/>
      <c r="V139" s="790"/>
      <c r="W139" s="790"/>
      <c r="X139" s="790"/>
      <c r="Y139" s="790"/>
      <c r="Z139" s="790"/>
      <c r="AA139" s="790"/>
      <c r="AB139" s="790"/>
      <c r="AC139" s="790"/>
      <c r="AD139" s="790"/>
      <c r="AE139" s="790"/>
      <c r="AF139" s="790"/>
      <c r="AG139" s="790"/>
      <c r="AH139" s="131"/>
      <c r="AI139" s="95"/>
      <c r="AJ139" s="95"/>
      <c r="AK139" s="95"/>
      <c r="AL139" s="95"/>
    </row>
    <row r="140" spans="2:38" ht="15.9">
      <c r="B140" s="740">
        <v>1</v>
      </c>
      <c r="C140" s="690"/>
      <c r="D140" s="752" t="s">
        <v>393</v>
      </c>
      <c r="E140" s="753"/>
      <c r="F140" s="754"/>
      <c r="G140" s="754"/>
      <c r="H140" s="755"/>
      <c r="I140" s="756"/>
      <c r="J140" s="754"/>
      <c r="K140" s="755"/>
      <c r="L140" s="757"/>
      <c r="M140" s="754"/>
      <c r="N140" s="754"/>
      <c r="O140" s="755"/>
      <c r="P140" s="758"/>
      <c r="Q140" s="754"/>
      <c r="R140" s="755"/>
      <c r="S140" s="759"/>
      <c r="T140" s="754"/>
      <c r="U140" s="760"/>
      <c r="V140" s="754"/>
      <c r="W140" s="754"/>
      <c r="X140" s="755"/>
      <c r="Y140" s="761"/>
      <c r="Z140" s="754"/>
      <c r="AA140" s="755"/>
      <c r="AB140" s="761"/>
      <c r="AC140" s="756"/>
      <c r="AD140" s="762"/>
      <c r="AE140" s="763"/>
      <c r="AF140" s="764"/>
      <c r="AG140" s="776"/>
      <c r="AH140" s="131"/>
      <c r="AI140" s="95"/>
      <c r="AJ140" s="95"/>
      <c r="AK140" s="95"/>
      <c r="AL140" s="95"/>
    </row>
    <row r="141" spans="2:38" ht="15.9">
      <c r="B141" s="740">
        <v>2</v>
      </c>
      <c r="C141" s="690"/>
      <c r="D141" s="751" t="s">
        <v>394</v>
      </c>
      <c r="E141" s="741"/>
      <c r="F141" s="742"/>
      <c r="G141" s="742"/>
      <c r="H141" s="743"/>
      <c r="I141" s="744"/>
      <c r="J141" s="742"/>
      <c r="K141" s="743"/>
      <c r="L141" s="745"/>
      <c r="M141" s="742"/>
      <c r="N141" s="742"/>
      <c r="O141" s="743"/>
      <c r="P141" s="746"/>
      <c r="Q141" s="742"/>
      <c r="R141" s="743"/>
      <c r="S141" s="747"/>
      <c r="T141" s="742"/>
      <c r="U141" s="526"/>
      <c r="V141" s="742"/>
      <c r="W141" s="742"/>
      <c r="X141" s="743"/>
      <c r="Y141" s="748"/>
      <c r="Z141" s="742"/>
      <c r="AA141" s="743"/>
      <c r="AB141" s="748"/>
      <c r="AC141" s="744"/>
      <c r="AD141" s="749"/>
      <c r="AE141" s="750"/>
      <c r="AF141" s="529"/>
      <c r="AG141" s="536"/>
      <c r="AH141" s="131"/>
      <c r="AI141" s="95"/>
      <c r="AJ141" s="95"/>
      <c r="AK141" s="95"/>
      <c r="AL141" s="95"/>
    </row>
    <row r="142" spans="2:38" ht="15.9">
      <c r="B142" s="740">
        <v>3</v>
      </c>
      <c r="C142" s="690"/>
      <c r="D142" s="751" t="s">
        <v>395</v>
      </c>
      <c r="E142" s="741"/>
      <c r="F142" s="742"/>
      <c r="G142" s="742"/>
      <c r="H142" s="743"/>
      <c r="I142" s="744"/>
      <c r="J142" s="742"/>
      <c r="K142" s="743"/>
      <c r="L142" s="745"/>
      <c r="M142" s="742"/>
      <c r="N142" s="742"/>
      <c r="O142" s="743"/>
      <c r="P142" s="746"/>
      <c r="Q142" s="742"/>
      <c r="R142" s="743"/>
      <c r="S142" s="747"/>
      <c r="T142" s="742"/>
      <c r="U142" s="526"/>
      <c r="V142" s="742"/>
      <c r="W142" s="742"/>
      <c r="X142" s="743"/>
      <c r="Y142" s="748"/>
      <c r="Z142" s="742"/>
      <c r="AA142" s="743"/>
      <c r="AB142" s="748"/>
      <c r="AC142" s="744"/>
      <c r="AD142" s="749"/>
      <c r="AE142" s="750"/>
      <c r="AF142" s="529"/>
      <c r="AG142" s="536"/>
      <c r="AH142" s="131"/>
      <c r="AI142" s="95"/>
      <c r="AJ142" s="95"/>
      <c r="AK142" s="95"/>
      <c r="AL142" s="95"/>
    </row>
    <row r="143" spans="2:38" ht="15.9">
      <c r="B143" s="740">
        <v>4</v>
      </c>
      <c r="C143" s="690"/>
      <c r="D143" s="751" t="s">
        <v>396</v>
      </c>
      <c r="E143" s="741"/>
      <c r="F143" s="742"/>
      <c r="G143" s="742"/>
      <c r="H143" s="743"/>
      <c r="I143" s="744"/>
      <c r="J143" s="742"/>
      <c r="K143" s="743"/>
      <c r="L143" s="745"/>
      <c r="M143" s="742"/>
      <c r="N143" s="742"/>
      <c r="O143" s="743"/>
      <c r="P143" s="746"/>
      <c r="Q143" s="742"/>
      <c r="R143" s="743"/>
      <c r="S143" s="747"/>
      <c r="T143" s="742"/>
      <c r="U143" s="526"/>
      <c r="V143" s="742"/>
      <c r="W143" s="742"/>
      <c r="X143" s="743"/>
      <c r="Y143" s="748"/>
      <c r="Z143" s="742"/>
      <c r="AA143" s="743"/>
      <c r="AB143" s="748"/>
      <c r="AC143" s="744"/>
      <c r="AD143" s="749"/>
      <c r="AE143" s="750"/>
      <c r="AF143" s="529"/>
      <c r="AG143" s="536"/>
      <c r="AH143" s="131"/>
      <c r="AI143" s="95"/>
      <c r="AJ143" s="95"/>
      <c r="AK143" s="95"/>
      <c r="AL143" s="95"/>
    </row>
    <row r="144" spans="2:38" ht="15.9">
      <c r="B144" s="740">
        <v>5</v>
      </c>
      <c r="C144" s="690"/>
      <c r="D144" s="751" t="s">
        <v>397</v>
      </c>
      <c r="E144" s="741"/>
      <c r="F144" s="742"/>
      <c r="G144" s="742"/>
      <c r="H144" s="743"/>
      <c r="I144" s="744"/>
      <c r="J144" s="742"/>
      <c r="K144" s="743"/>
      <c r="L144" s="745"/>
      <c r="M144" s="742"/>
      <c r="N144" s="742"/>
      <c r="O144" s="743"/>
      <c r="P144" s="746"/>
      <c r="Q144" s="742"/>
      <c r="R144" s="743"/>
      <c r="S144" s="747"/>
      <c r="T144" s="742"/>
      <c r="U144" s="526"/>
      <c r="V144" s="742"/>
      <c r="W144" s="742"/>
      <c r="X144" s="743"/>
      <c r="Y144" s="748"/>
      <c r="Z144" s="742"/>
      <c r="AA144" s="743"/>
      <c r="AB144" s="748"/>
      <c r="AC144" s="744"/>
      <c r="AD144" s="749"/>
      <c r="AE144" s="750"/>
      <c r="AF144" s="529"/>
      <c r="AG144" s="536"/>
      <c r="AH144" s="131"/>
      <c r="AI144" s="95"/>
      <c r="AJ144" s="95"/>
      <c r="AK144" s="95"/>
      <c r="AL144" s="95"/>
    </row>
    <row r="145" spans="2:38" ht="15.9">
      <c r="B145" s="740">
        <v>6</v>
      </c>
      <c r="C145" s="690"/>
      <c r="D145" s="751" t="s">
        <v>398</v>
      </c>
      <c r="E145" s="741"/>
      <c r="F145" s="742"/>
      <c r="G145" s="742"/>
      <c r="H145" s="743"/>
      <c r="I145" s="744"/>
      <c r="J145" s="742"/>
      <c r="K145" s="743"/>
      <c r="L145" s="745"/>
      <c r="M145" s="742"/>
      <c r="N145" s="742"/>
      <c r="O145" s="743"/>
      <c r="P145" s="746"/>
      <c r="Q145" s="742"/>
      <c r="R145" s="743"/>
      <c r="S145" s="747"/>
      <c r="T145" s="742"/>
      <c r="U145" s="526"/>
      <c r="V145" s="742"/>
      <c r="W145" s="742"/>
      <c r="X145" s="743"/>
      <c r="Y145" s="748"/>
      <c r="Z145" s="742"/>
      <c r="AA145" s="743"/>
      <c r="AB145" s="748"/>
      <c r="AC145" s="744"/>
      <c r="AD145" s="749"/>
      <c r="AE145" s="750"/>
      <c r="AF145" s="529"/>
      <c r="AG145" s="536"/>
      <c r="AH145" s="131"/>
      <c r="AI145" s="95"/>
      <c r="AJ145" s="95"/>
      <c r="AK145" s="95"/>
      <c r="AL145" s="95"/>
    </row>
    <row r="146" spans="2:38" ht="15.9">
      <c r="B146" s="740">
        <v>7</v>
      </c>
      <c r="C146" s="690"/>
      <c r="D146" s="751" t="s">
        <v>399</v>
      </c>
      <c r="E146" s="741"/>
      <c r="F146" s="742"/>
      <c r="G146" s="742"/>
      <c r="H146" s="743"/>
      <c r="I146" s="744"/>
      <c r="J146" s="742"/>
      <c r="K146" s="743"/>
      <c r="L146" s="745"/>
      <c r="M146" s="742"/>
      <c r="N146" s="742"/>
      <c r="O146" s="743"/>
      <c r="P146" s="746"/>
      <c r="Q146" s="742"/>
      <c r="R146" s="743"/>
      <c r="S146" s="747"/>
      <c r="T146" s="742"/>
      <c r="U146" s="526"/>
      <c r="V146" s="742"/>
      <c r="W146" s="742"/>
      <c r="X146" s="743"/>
      <c r="Y146" s="748"/>
      <c r="Z146" s="742"/>
      <c r="AA146" s="743"/>
      <c r="AB146" s="748"/>
      <c r="AC146" s="744"/>
      <c r="AD146" s="749"/>
      <c r="AE146" s="750"/>
      <c r="AF146" s="529"/>
      <c r="AG146" s="536"/>
      <c r="AH146" s="131"/>
      <c r="AI146" s="95"/>
      <c r="AJ146" s="95"/>
      <c r="AK146" s="95"/>
      <c r="AL146" s="95"/>
    </row>
    <row r="147" spans="2:38" ht="15.9">
      <c r="B147" s="740">
        <v>8</v>
      </c>
      <c r="C147" s="690"/>
      <c r="D147" s="751" t="s">
        <v>400</v>
      </c>
      <c r="E147" s="741"/>
      <c r="F147" s="742"/>
      <c r="G147" s="742"/>
      <c r="H147" s="743"/>
      <c r="I147" s="744"/>
      <c r="J147" s="742"/>
      <c r="K147" s="743"/>
      <c r="L147" s="745"/>
      <c r="M147" s="742"/>
      <c r="N147" s="742"/>
      <c r="O147" s="743"/>
      <c r="P147" s="746"/>
      <c r="Q147" s="742"/>
      <c r="R147" s="743"/>
      <c r="S147" s="747"/>
      <c r="T147" s="742"/>
      <c r="U147" s="526"/>
      <c r="V147" s="742"/>
      <c r="W147" s="742"/>
      <c r="X147" s="743"/>
      <c r="Y147" s="748"/>
      <c r="Z147" s="742"/>
      <c r="AA147" s="743"/>
      <c r="AB147" s="748"/>
      <c r="AC147" s="744"/>
      <c r="AD147" s="749"/>
      <c r="AE147" s="750"/>
      <c r="AF147" s="529"/>
      <c r="AG147" s="536"/>
      <c r="AH147" s="131"/>
      <c r="AI147" s="95"/>
      <c r="AJ147" s="95"/>
      <c r="AK147" s="95"/>
      <c r="AL147" s="95"/>
    </row>
    <row r="148" spans="2:38" ht="15.9">
      <c r="B148" s="740">
        <v>9</v>
      </c>
      <c r="C148" s="690"/>
      <c r="D148" s="751" t="s">
        <v>24</v>
      </c>
      <c r="E148" s="741"/>
      <c r="F148" s="742"/>
      <c r="G148" s="742"/>
      <c r="H148" s="743"/>
      <c r="I148" s="744"/>
      <c r="J148" s="742"/>
      <c r="K148" s="743"/>
      <c r="L148" s="745"/>
      <c r="M148" s="742"/>
      <c r="N148" s="742"/>
      <c r="O148" s="743"/>
      <c r="P148" s="746"/>
      <c r="Q148" s="742"/>
      <c r="R148" s="743"/>
      <c r="S148" s="747"/>
      <c r="T148" s="742"/>
      <c r="U148" s="526"/>
      <c r="V148" s="742"/>
      <c r="W148" s="742"/>
      <c r="X148" s="743"/>
      <c r="Y148" s="748"/>
      <c r="Z148" s="742"/>
      <c r="AA148" s="743"/>
      <c r="AB148" s="748"/>
      <c r="AC148" s="744"/>
      <c r="AD148" s="749"/>
      <c r="AE148" s="750"/>
      <c r="AF148" s="529"/>
      <c r="AG148" s="536"/>
      <c r="AH148" s="131"/>
      <c r="AI148" s="95"/>
      <c r="AJ148" s="95"/>
      <c r="AK148" s="95"/>
      <c r="AL148" s="95"/>
    </row>
    <row r="149" spans="2:38" ht="15.9">
      <c r="B149" s="740">
        <v>10</v>
      </c>
      <c r="C149" s="690"/>
      <c r="D149" s="765" t="s">
        <v>24</v>
      </c>
      <c r="E149" s="766"/>
      <c r="F149" s="767"/>
      <c r="G149" s="767"/>
      <c r="H149" s="768"/>
      <c r="I149" s="769"/>
      <c r="J149" s="767"/>
      <c r="K149" s="768"/>
      <c r="L149" s="770"/>
      <c r="M149" s="767"/>
      <c r="N149" s="767"/>
      <c r="O149" s="768"/>
      <c r="P149" s="771"/>
      <c r="Q149" s="767"/>
      <c r="R149" s="768"/>
      <c r="S149" s="772"/>
      <c r="T149" s="767"/>
      <c r="U149" s="532"/>
      <c r="V149" s="767"/>
      <c r="W149" s="767"/>
      <c r="X149" s="768"/>
      <c r="Y149" s="773"/>
      <c r="Z149" s="767"/>
      <c r="AA149" s="768"/>
      <c r="AB149" s="773"/>
      <c r="AC149" s="769"/>
      <c r="AD149" s="774"/>
      <c r="AE149" s="775"/>
      <c r="AF149" s="535"/>
      <c r="AG149" s="537"/>
      <c r="AH149" s="131"/>
      <c r="AI149" s="95"/>
      <c r="AJ149" s="95"/>
      <c r="AK149" s="95"/>
      <c r="AL149" s="95"/>
    </row>
    <row r="150" spans="2:38" ht="14.6">
      <c r="B150" s="690"/>
      <c r="C150" s="690"/>
      <c r="D150" s="691"/>
      <c r="E150" s="541"/>
      <c r="F150" s="450"/>
      <c r="G150" s="450"/>
      <c r="H150" s="335"/>
      <c r="I150" s="336"/>
      <c r="J150" s="450"/>
      <c r="K150" s="335"/>
      <c r="L150" s="337"/>
      <c r="M150" s="503"/>
      <c r="N150" s="450"/>
      <c r="O150" s="335"/>
      <c r="P150" s="656"/>
      <c r="Q150" s="503"/>
      <c r="R150" s="335"/>
      <c r="S150" s="657"/>
      <c r="T150" s="450"/>
      <c r="U150" s="448"/>
      <c r="V150" s="450"/>
      <c r="W150" s="450"/>
      <c r="X150" s="335"/>
      <c r="Y150" s="340"/>
      <c r="Z150" s="450"/>
      <c r="AA150" s="335"/>
      <c r="AB150" s="338"/>
      <c r="AC150" s="339"/>
      <c r="AD150" s="341"/>
      <c r="AE150" s="437"/>
      <c r="AF150" s="699"/>
      <c r="AG150" s="699"/>
      <c r="AH150" s="131"/>
      <c r="AI150" s="95"/>
      <c r="AJ150" s="95"/>
      <c r="AK150" s="95"/>
      <c r="AL150" s="95"/>
    </row>
    <row r="151" spans="2:38" ht="14.6">
      <c r="B151" s="690"/>
      <c r="C151" s="690"/>
      <c r="D151" s="691"/>
      <c r="E151" s="541"/>
      <c r="F151" s="450"/>
      <c r="G151" s="450"/>
      <c r="H151" s="335"/>
      <c r="I151" s="336"/>
      <c r="J151" s="450"/>
      <c r="K151" s="335"/>
      <c r="L151" s="337"/>
      <c r="M151" s="503"/>
      <c r="N151" s="450"/>
      <c r="O151" s="335"/>
      <c r="P151" s="656"/>
      <c r="Q151" s="503"/>
      <c r="R151" s="335"/>
      <c r="S151" s="657"/>
      <c r="T151" s="450"/>
      <c r="U151" s="448"/>
      <c r="V151" s="450"/>
      <c r="W151" s="450"/>
      <c r="X151" s="335"/>
      <c r="Y151" s="340"/>
      <c r="Z151" s="450"/>
      <c r="AA151" s="335"/>
      <c r="AB151" s="338"/>
      <c r="AC151" s="339"/>
      <c r="AD151" s="341"/>
      <c r="AE151" s="437"/>
      <c r="AF151" s="699"/>
      <c r="AG151" s="699"/>
      <c r="AH151" s="131"/>
      <c r="AI151" s="95"/>
      <c r="AJ151" s="95"/>
      <c r="AK151" s="95"/>
      <c r="AL151" s="95"/>
    </row>
  </sheetData>
  <sheetProtection algorithmName="SHA-512" hashValue="WvuuxK0Gtg0CC4cmliREV2IeKV9wNmJZVmXOFeihu/DQkAZr7ivLN935AwOh52F40gYNSGoHzM5UPtBJKwUZew==" saltValue="8f1PZ4kIaCd7+T7MdvWjhA==" spinCount="100000" sheet="1" objects="1" scenarios="1" sort="0" autoFilter="0"/>
  <protectedRanges>
    <protectedRange sqref="B2:C2" name="PERIODO_1"/>
  </protectedRanges>
  <mergeCells count="24">
    <mergeCell ref="J134:T134"/>
    <mergeCell ref="J135:T135"/>
    <mergeCell ref="J136:T136"/>
    <mergeCell ref="J137:T137"/>
    <mergeCell ref="D139:AG139"/>
    <mergeCell ref="J129:T129"/>
    <mergeCell ref="J130:T130"/>
    <mergeCell ref="J131:T131"/>
    <mergeCell ref="J132:T132"/>
    <mergeCell ref="J133:T133"/>
    <mergeCell ref="M2:N2"/>
    <mergeCell ref="AA6:AB6"/>
    <mergeCell ref="F4:I4"/>
    <mergeCell ref="H5:I5"/>
    <mergeCell ref="M4:P4"/>
    <mergeCell ref="O5:P5"/>
    <mergeCell ref="V4:Y4"/>
    <mergeCell ref="X5:Y5"/>
    <mergeCell ref="H6:I6"/>
    <mergeCell ref="K6:L6"/>
    <mergeCell ref="O6:P6"/>
    <mergeCell ref="R6:S6"/>
    <mergeCell ref="X6:Y6"/>
    <mergeCell ref="T4:U5"/>
  </mergeCells>
  <conditionalFormatting sqref="I8:I127">
    <cfRule type="iconSet" priority="7">
      <iconSet showValue="0">
        <cfvo type="percent" val="0"/>
        <cfvo type="num" val="0.95"/>
        <cfvo type="num" val="1"/>
      </iconSet>
    </cfRule>
  </conditionalFormatting>
  <conditionalFormatting sqref="P8:P127">
    <cfRule type="iconSet" priority="6">
      <iconSet showValue="0">
        <cfvo type="percent" val="0"/>
        <cfvo type="num" val="0.95"/>
        <cfvo type="num" val="1"/>
      </iconSet>
    </cfRule>
  </conditionalFormatting>
  <conditionalFormatting sqref="Y8:Y127">
    <cfRule type="iconSet" priority="5">
      <iconSet showValue="0">
        <cfvo type="percent" val="0"/>
        <cfvo type="num" val="0.95"/>
        <cfvo type="num" val="1"/>
      </iconSet>
    </cfRule>
  </conditionalFormatting>
  <conditionalFormatting sqref="L8:L127">
    <cfRule type="iconSet" priority="4">
      <iconSet showValue="0">
        <cfvo type="percent" val="0"/>
        <cfvo type="num" val="0.95"/>
        <cfvo type="num" val="1"/>
      </iconSet>
    </cfRule>
  </conditionalFormatting>
  <conditionalFormatting sqref="S8:S127">
    <cfRule type="iconSet" priority="3">
      <iconSet showValue="0">
        <cfvo type="percent" val="0"/>
        <cfvo type="num" val="0.95"/>
        <cfvo type="num" val="1"/>
      </iconSet>
    </cfRule>
  </conditionalFormatting>
  <conditionalFormatting sqref="AB8:AB127">
    <cfRule type="iconSet" priority="2">
      <iconSet showValue="0">
        <cfvo type="percent" val="0"/>
        <cfvo type="num" val="0.95"/>
        <cfvo type="num" val="1"/>
      </iconSet>
    </cfRule>
  </conditionalFormatting>
  <printOptions horizontalCentered="1"/>
  <pageMargins left="0.11811023622047245" right="0.11811023622047245" top="0.19685039370078741" bottom="0.19685039370078741" header="0.15748031496062992" footer="0.15748031496062992"/>
  <pageSetup paperSize="8" scale="63" fitToHeight="0" orientation="landscape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EB32B12C-48A2-4BC3-B4AE-2A9A1F2F406B}">
            <x14:iconSet showValue="0" custom="1">
              <x14:cfvo type="percent">
                <xm:f>0</xm:f>
              </x14:cfvo>
              <x14:cfvo type="num" gte="0">
                <xm:f>1</xm:f>
              </x14:cfvo>
              <x14:cfvo type="num" gte="0">
                <xm:f>2</xm:f>
              </x14:cfvo>
              <x14:cfIcon iconSet="3TrafficLights1" iconId="2"/>
              <x14:cfIcon iconSet="3TrafficLights1" iconId="1"/>
              <x14:cfIcon iconSet="3TrafficLights1" iconId="0"/>
            </x14:iconSet>
          </x14:cfRule>
          <xm:sqref>I130:I137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Registro</vt:lpstr>
      <vt:lpstr>TCD</vt:lpstr>
      <vt:lpstr>TCS</vt:lpstr>
      <vt:lpstr>TCM</vt:lpstr>
      <vt:lpstr>TCD!Títulos_a_imprimir</vt:lpstr>
      <vt:lpstr>TCM!Títulos_a_imprimir</vt:lpstr>
      <vt:lpstr>TCS!Títulos_a_imprimir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UE GERENCIA TOTAL (Joseph Marchena)</dc:creator>
  <cp:lastModifiedBy>nhidalgo</cp:lastModifiedBy>
  <cp:lastPrinted>2018-02-06T16:44:14Z</cp:lastPrinted>
  <dcterms:created xsi:type="dcterms:W3CDTF">2016-04-19T20:29:01Z</dcterms:created>
  <dcterms:modified xsi:type="dcterms:W3CDTF">2019-03-20T16:14:30Z</dcterms:modified>
</cp:coreProperties>
</file>